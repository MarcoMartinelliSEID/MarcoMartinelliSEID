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C:\Users\marti\Documents\GitHub\sattanelli\LogicDiagram\"/>
    </mc:Choice>
  </mc:AlternateContent>
  <xr:revisionPtr revIDLastSave="0" documentId="13_ncr:1_{A0BCE4ED-B90C-4899-A023-2CF42DFAB704}" xr6:coauthVersionLast="45" xr6:coauthVersionMax="45" xr10:uidLastSave="{00000000-0000-0000-0000-000000000000}"/>
  <bookViews>
    <workbookView xWindow="-28920" yWindow="5115" windowWidth="29040" windowHeight="15840" tabRatio="603" activeTab="2" xr2:uid="{00000000-000D-0000-FFFF-FFFF00000000}"/>
  </bookViews>
  <sheets>
    <sheet name="COVER SHEET" sheetId="58" r:id="rId1"/>
    <sheet name="Notes" sheetId="35" r:id="rId2"/>
    <sheet name="PLC HARDWIRED IO LIST" sheetId="57" r:id="rId3"/>
  </sheets>
  <functionGroups builtInGroupCount="19"/>
  <definedNames>
    <definedName name="_xlnm._FilterDatabase" localSheetId="2" hidden="1">'PLC HARDWIRED IO LIST'!$AE$1:$AE$394</definedName>
    <definedName name="_Toc415584022" localSheetId="2">'PLC HARDWIRED IO LIST'!#REF!</definedName>
    <definedName name="_xlnm.Print_Area" localSheetId="1">Notes!$A$1:$BQ$48</definedName>
    <definedName name="_xlnm.Print_Area" localSheetId="2">'PLC HARDWIRED IO LIST'!$A$1:$AA$186</definedName>
    <definedName name="_xlnm.Print_Titles" localSheetId="2">'PLC HARDWIRED IO LIST'!$1:$2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57" l="1"/>
  <c r="A5" i="57" s="1"/>
  <c r="A6" i="57" s="1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36" i="57" s="1"/>
  <c r="A37" i="57" s="1"/>
  <c r="A38" i="57" s="1"/>
  <c r="A39" i="57" s="1"/>
  <c r="A40" i="57" s="1"/>
  <c r="A41" i="57" s="1"/>
  <c r="A42" i="57" s="1"/>
  <c r="A43" i="57" s="1"/>
  <c r="A44" i="57" s="1"/>
  <c r="A45" i="57" s="1"/>
  <c r="A46" i="57" s="1"/>
  <c r="A47" i="57" s="1"/>
  <c r="A48" i="57" s="1"/>
  <c r="A49" i="57" s="1"/>
  <c r="A50" i="57" s="1"/>
  <c r="A51" i="57" s="1"/>
  <c r="A52" i="57" s="1"/>
  <c r="A53" i="57" s="1"/>
  <c r="A54" i="57" s="1"/>
  <c r="A55" i="57" s="1"/>
  <c r="A56" i="57" s="1"/>
  <c r="A57" i="57" s="1"/>
  <c r="A58" i="57" s="1"/>
  <c r="A59" i="57" s="1"/>
  <c r="A60" i="57" s="1"/>
  <c r="A61" i="57" s="1"/>
  <c r="A62" i="57" s="1"/>
  <c r="A63" i="57" s="1"/>
  <c r="A64" i="57" s="1"/>
  <c r="A65" i="57" s="1"/>
  <c r="A66" i="57" s="1"/>
  <c r="A67" i="57" s="1"/>
  <c r="A68" i="57" s="1"/>
  <c r="A69" i="57" s="1"/>
  <c r="A70" i="57" s="1"/>
  <c r="A71" i="57" s="1"/>
  <c r="A72" i="57" s="1"/>
  <c r="A73" i="57" s="1"/>
  <c r="A74" i="57" s="1"/>
  <c r="A75" i="57" s="1"/>
  <c r="A76" i="57" s="1"/>
  <c r="A77" i="57" s="1"/>
  <c r="A78" i="57" s="1"/>
  <c r="A79" i="57" s="1"/>
  <c r="A80" i="57" s="1"/>
  <c r="A81" i="57" s="1"/>
  <c r="A82" i="57" s="1"/>
  <c r="A83" i="57" s="1"/>
  <c r="A84" i="57" s="1"/>
  <c r="A85" i="57" s="1"/>
  <c r="A86" i="57" s="1"/>
  <c r="A87" i="57" s="1"/>
  <c r="A88" i="57" s="1"/>
  <c r="A89" i="57" s="1"/>
  <c r="A90" i="57" s="1"/>
  <c r="A91" i="57" s="1"/>
  <c r="A92" i="57" s="1"/>
  <c r="A93" i="57" s="1"/>
  <c r="A94" i="57" s="1"/>
  <c r="A95" i="57" s="1"/>
  <c r="A96" i="57" s="1"/>
  <c r="A97" i="57" s="1"/>
  <c r="A98" i="57" s="1"/>
  <c r="A99" i="57" s="1"/>
  <c r="A100" i="57" s="1"/>
  <c r="A101" i="57" s="1"/>
  <c r="A102" i="57" s="1"/>
  <c r="A103" i="57" s="1"/>
  <c r="A104" i="57" s="1"/>
  <c r="A105" i="57" s="1"/>
  <c r="A106" i="57" s="1"/>
  <c r="A107" i="57" s="1"/>
  <c r="A108" i="57" s="1"/>
  <c r="A109" i="57" s="1"/>
  <c r="A110" i="57" s="1"/>
  <c r="A111" i="57" s="1"/>
  <c r="A112" i="57" s="1"/>
  <c r="A113" i="57" s="1"/>
  <c r="A114" i="57" s="1"/>
  <c r="A115" i="57" s="1"/>
  <c r="A116" i="57" s="1"/>
  <c r="A117" i="57" s="1"/>
  <c r="A118" i="57" s="1"/>
  <c r="A119" i="57" s="1"/>
  <c r="A120" i="57" s="1"/>
  <c r="A121" i="57" s="1"/>
  <c r="A122" i="57" s="1"/>
  <c r="A123" i="57" s="1"/>
  <c r="A124" i="57" s="1"/>
  <c r="A125" i="57" s="1"/>
  <c r="A126" i="57" s="1"/>
  <c r="A127" i="57" s="1"/>
  <c r="A128" i="57" s="1"/>
  <c r="A129" i="57" s="1"/>
  <c r="A130" i="57" s="1"/>
  <c r="A131" i="57" s="1"/>
  <c r="A132" i="57" s="1"/>
  <c r="A133" i="57" s="1"/>
  <c r="A134" i="57" s="1"/>
  <c r="A135" i="57" s="1"/>
  <c r="A136" i="57" s="1"/>
  <c r="A137" i="57" s="1"/>
  <c r="A138" i="57" s="1"/>
  <c r="A139" i="57" s="1"/>
  <c r="A140" i="57" s="1"/>
  <c r="A141" i="57" s="1"/>
  <c r="A142" i="57" s="1"/>
  <c r="A143" i="57" s="1"/>
  <c r="A144" i="57" s="1"/>
  <c r="A145" i="57" s="1"/>
  <c r="A146" i="57" s="1"/>
  <c r="A147" i="57" s="1"/>
  <c r="A148" i="57" s="1"/>
  <c r="A149" i="57" s="1"/>
  <c r="A150" i="57" s="1"/>
  <c r="A151" i="57" s="1"/>
  <c r="A152" i="57" s="1"/>
  <c r="A153" i="57" s="1"/>
  <c r="A154" i="57" s="1"/>
  <c r="A155" i="57" s="1"/>
  <c r="A156" i="57" s="1"/>
  <c r="A157" i="57" s="1"/>
  <c r="A158" i="57" s="1"/>
  <c r="A159" i="57" s="1"/>
  <c r="A160" i="57" s="1"/>
  <c r="A161" i="57" s="1"/>
  <c r="A162" i="57" s="1"/>
  <c r="A163" i="57" s="1"/>
  <c r="A164" i="57" s="1"/>
  <c r="A165" i="57" s="1"/>
  <c r="A166" i="57" s="1"/>
  <c r="A167" i="57" s="1"/>
  <c r="A168" i="57" s="1"/>
  <c r="A169" i="57" s="1"/>
  <c r="A170" i="57" s="1"/>
  <c r="A171" i="57" s="1"/>
  <c r="A172" i="57" s="1"/>
  <c r="A173" i="57" s="1"/>
  <c r="A174" i="57" s="1"/>
  <c r="A175" i="57" s="1"/>
  <c r="A176" i="57" s="1"/>
  <c r="A177" i="57" s="1"/>
  <c r="A178" i="57" s="1"/>
  <c r="A179" i="57" s="1"/>
  <c r="A180" i="57" s="1"/>
  <c r="A181" i="57" s="1"/>
  <c r="A182" i="57" s="1"/>
  <c r="A183" i="57" s="1"/>
  <c r="A184" i="57" s="1"/>
  <c r="A185" i="57" s="1"/>
  <c r="A186" i="57" s="1"/>
  <c r="AP186" i="57"/>
  <c r="AP185" i="57"/>
  <c r="AP184" i="57"/>
  <c r="AP183" i="57"/>
  <c r="AP182" i="57"/>
  <c r="AP181" i="57"/>
  <c r="AP178" i="57"/>
  <c r="AP170" i="57"/>
  <c r="AP169" i="57"/>
  <c r="AP168" i="57"/>
  <c r="AP164" i="57"/>
  <c r="AP163" i="57"/>
  <c r="AP162" i="57"/>
  <c r="AP161" i="57"/>
  <c r="AP160" i="57"/>
  <c r="AP159" i="57"/>
  <c r="AP158" i="57"/>
  <c r="AP157" i="57"/>
  <c r="AP156" i="57"/>
  <c r="AP155" i="57"/>
  <c r="AP154" i="57"/>
  <c r="AP153" i="57"/>
  <c r="AP152" i="57"/>
  <c r="AP151" i="57"/>
  <c r="AP150" i="57"/>
  <c r="AP149" i="57"/>
  <c r="AP146" i="57"/>
  <c r="AP138" i="57"/>
  <c r="AP137" i="57"/>
  <c r="AP136" i="57"/>
  <c r="AP132" i="57"/>
  <c r="AP131" i="57"/>
  <c r="AP130" i="57"/>
  <c r="AP129" i="57"/>
  <c r="AP128" i="57"/>
  <c r="AP127" i="57"/>
  <c r="AP126" i="57"/>
  <c r="AP125" i="57"/>
  <c r="AP124" i="57"/>
  <c r="AP123" i="57"/>
  <c r="AP15" i="57"/>
  <c r="AQ15" i="57"/>
  <c r="AP16" i="57"/>
  <c r="AQ16" i="57"/>
  <c r="AP17" i="57"/>
  <c r="AQ17" i="57"/>
  <c r="AP18" i="57"/>
  <c r="AQ18" i="57"/>
  <c r="AP19" i="57"/>
  <c r="AQ19" i="57"/>
  <c r="AP20" i="57"/>
  <c r="AQ20" i="57"/>
  <c r="AP21" i="57"/>
  <c r="AQ21" i="57"/>
  <c r="AP97" i="57"/>
  <c r="AP98" i="57"/>
  <c r="AP99" i="57"/>
  <c r="AP100" i="57"/>
  <c r="AP104" i="57"/>
  <c r="AP105" i="57"/>
  <c r="AP106" i="57"/>
  <c r="AP122" i="57"/>
  <c r="AP121" i="57"/>
  <c r="AP120" i="57"/>
  <c r="AP119" i="57"/>
  <c r="AP118" i="57"/>
  <c r="AP117" i="57"/>
  <c r="AP114" i="57"/>
  <c r="AP96" i="57"/>
  <c r="AP95" i="57"/>
  <c r="AP94" i="57"/>
  <c r="AP93" i="57"/>
  <c r="AP92" i="57"/>
  <c r="AP91" i="57"/>
  <c r="AP90" i="57"/>
  <c r="AP89" i="57"/>
  <c r="AP88" i="57"/>
  <c r="AP87" i="57"/>
  <c r="AP86" i="57"/>
  <c r="AP85" i="57"/>
  <c r="AP84" i="57"/>
  <c r="AP83" i="57"/>
  <c r="AP82" i="57"/>
  <c r="AP81" i="57"/>
  <c r="AP80" i="57"/>
  <c r="AP79" i="57"/>
  <c r="AP78" i="57"/>
  <c r="AP77" i="57"/>
  <c r="AP76" i="57"/>
  <c r="AP75" i="57"/>
  <c r="AP74" i="57"/>
  <c r="AP73" i="57"/>
  <c r="AP72" i="57"/>
  <c r="AP71" i="57"/>
  <c r="AP70" i="57"/>
  <c r="AP69" i="57"/>
  <c r="AP68" i="57"/>
  <c r="AS67" i="57"/>
  <c r="AP67" i="57"/>
  <c r="AS66" i="57"/>
  <c r="AP66" i="57"/>
  <c r="AS65" i="57"/>
  <c r="AP65" i="57"/>
  <c r="AS64" i="57"/>
  <c r="AP64" i="57"/>
  <c r="AS63" i="57"/>
  <c r="AP63" i="57"/>
  <c r="AS62" i="57"/>
  <c r="AP62" i="57"/>
  <c r="AS61" i="57"/>
  <c r="AP61" i="57"/>
  <c r="AS60" i="57"/>
  <c r="AI60" i="57"/>
  <c r="AI61" i="57" s="1"/>
  <c r="AI62" i="57" s="1"/>
  <c r="AI63" i="57" s="1"/>
  <c r="AI64" i="57" s="1"/>
  <c r="AI65" i="57" s="1"/>
  <c r="AI66" i="57" s="1"/>
  <c r="AI67" i="57" s="1"/>
  <c r="AI68" i="57" s="1"/>
  <c r="AI69" i="57" s="1"/>
  <c r="AI70" i="57" s="1"/>
  <c r="AI71" i="57" s="1"/>
  <c r="AI72" i="57" s="1"/>
  <c r="AI73" i="57" s="1"/>
  <c r="AI74" i="57" s="1"/>
  <c r="AP60" i="57"/>
  <c r="AS59" i="57"/>
  <c r="AP59" i="57"/>
  <c r="AP58" i="57"/>
  <c r="AP57" i="57"/>
  <c r="AP56" i="57"/>
  <c r="AP55" i="57"/>
  <c r="AP54" i="57"/>
  <c r="AP53" i="57"/>
  <c r="AP52" i="57"/>
  <c r="AP51" i="57"/>
  <c r="AP50" i="57"/>
  <c r="AP49" i="57"/>
  <c r="AP48" i="57"/>
  <c r="AP47" i="57"/>
  <c r="AP46" i="57"/>
  <c r="AP45" i="57"/>
  <c r="AP44" i="57"/>
  <c r="AP43" i="57"/>
  <c r="AP42" i="57"/>
  <c r="AP41" i="57"/>
  <c r="AP40" i="57"/>
  <c r="AP39" i="57"/>
  <c r="AP38" i="57"/>
  <c r="AP37" i="57"/>
  <c r="AP36" i="57"/>
  <c r="AP35" i="57"/>
  <c r="AP34" i="57"/>
  <c r="AP33" i="57"/>
  <c r="AP32" i="57"/>
  <c r="AP31" i="57"/>
  <c r="AP30" i="57"/>
  <c r="AP29" i="57"/>
  <c r="AP28" i="57"/>
  <c r="AP27" i="57"/>
  <c r="AQ14" i="57"/>
  <c r="AP14" i="57"/>
  <c r="AQ13" i="57"/>
  <c r="AP13" i="57"/>
  <c r="AQ12" i="57"/>
  <c r="AP12" i="57"/>
  <c r="AQ11" i="57"/>
  <c r="AQ10" i="57"/>
  <c r="AP10" i="57"/>
  <c r="AQ9" i="57"/>
  <c r="AP9" i="57"/>
  <c r="AQ8" i="57"/>
  <c r="AQ7" i="57"/>
  <c r="AP6" i="57"/>
  <c r="AQ6" i="57"/>
  <c r="AQ4" i="57"/>
  <c r="AP4" i="57"/>
  <c r="AQ3" i="57"/>
  <c r="AP3" i="57"/>
  <c r="AP8" i="57"/>
  <c r="AP11" i="57"/>
  <c r="AP7" i="57"/>
</calcChain>
</file>

<file path=xl/sharedStrings.xml><?xml version="1.0" encoding="utf-8"?>
<sst xmlns="http://schemas.openxmlformats.org/spreadsheetml/2006/main" count="3149" uniqueCount="754">
  <si>
    <t>Sheet 1 of 5</t>
  </si>
  <si>
    <t>D. Casà</t>
  </si>
  <si>
    <t>M. Martinelli</t>
  </si>
  <si>
    <t>M. Romelli</t>
  </si>
  <si>
    <t>Rev.</t>
  </si>
  <si>
    <t>Description</t>
  </si>
  <si>
    <t>Prepared</t>
  </si>
  <si>
    <t>Checked</t>
  </si>
  <si>
    <t>Approved</t>
  </si>
  <si>
    <t>Date</t>
  </si>
  <si>
    <t>LEGEND</t>
  </si>
  <si>
    <t>FLD</t>
  </si>
  <si>
    <t>FIELD</t>
  </si>
  <si>
    <t>DCS</t>
  </si>
  <si>
    <t>DISTRIBUTED CONTROL SYSTEM (By Customer)</t>
  </si>
  <si>
    <t>ESD</t>
  </si>
  <si>
    <t>EMERGENCY SHUTDOWN SYSTEM (By Customer)</t>
  </si>
  <si>
    <t>MCC</t>
  </si>
  <si>
    <t>MEDIUM VOLTAGE CUSTOMER MOTOR CONTROL CENTER (By Customer)</t>
  </si>
  <si>
    <t>AI</t>
  </si>
  <si>
    <t>ANALOG INPUT</t>
  </si>
  <si>
    <t>AO</t>
  </si>
  <si>
    <t>ANALOG OUTPUT</t>
  </si>
  <si>
    <t>DI</t>
  </si>
  <si>
    <t>DIGITAL INPUT</t>
  </si>
  <si>
    <t>DO</t>
  </si>
  <si>
    <t>DIGITAL OUTPUT</t>
  </si>
  <si>
    <t>HW</t>
  </si>
  <si>
    <t>HARDWIRE LINK</t>
  </si>
  <si>
    <t>IS</t>
  </si>
  <si>
    <t>INTRINSICALLY SAFE</t>
  </si>
  <si>
    <t>NIS</t>
  </si>
  <si>
    <t>NOT INTRINSICALLY SAFE</t>
  </si>
  <si>
    <t>UCP</t>
  </si>
  <si>
    <t>LOCAL CONTROL PANEL (PLC CABINET)</t>
  </si>
  <si>
    <t>MMS</t>
  </si>
  <si>
    <t>MACHINE MONITORING SYSTEM</t>
  </si>
  <si>
    <t>Note:</t>
  </si>
  <si>
    <t>Pos.</t>
  </si>
  <si>
    <t>Tag Number</t>
  </si>
  <si>
    <t>Nature of
Field Signal</t>
  </si>
  <si>
    <t>I/O Module</t>
  </si>
  <si>
    <t>Type of
PLC I/O Card</t>
  </si>
  <si>
    <t>Description Service</t>
  </si>
  <si>
    <t>Device</t>
  </si>
  <si>
    <t>Instrument Signal From/To</t>
  </si>
  <si>
    <r>
      <t>1</t>
    </r>
    <r>
      <rPr>
        <b/>
        <i/>
        <vertAlign val="superscript"/>
        <sz val="7"/>
        <rFont val="Arial"/>
        <family val="2"/>
      </rPr>
      <t>st</t>
    </r>
    <r>
      <rPr>
        <b/>
        <i/>
        <sz val="7"/>
        <rFont val="Arial"/>
        <family val="2"/>
      </rPr>
      <t xml:space="preserve"> Destination</t>
    </r>
  </si>
  <si>
    <r>
      <t>1</t>
    </r>
    <r>
      <rPr>
        <b/>
        <i/>
        <vertAlign val="superscript"/>
        <sz val="7"/>
        <rFont val="Arial"/>
        <family val="2"/>
      </rPr>
      <t>st</t>
    </r>
    <r>
      <rPr>
        <b/>
        <i/>
        <sz val="7"/>
        <rFont val="Arial"/>
        <family val="2"/>
      </rPr>
      <t xml:space="preserve"> Linked  by </t>
    </r>
  </si>
  <si>
    <r>
      <t>2</t>
    </r>
    <r>
      <rPr>
        <b/>
        <i/>
        <vertAlign val="superscript"/>
        <sz val="7"/>
        <rFont val="Arial"/>
        <family val="2"/>
      </rPr>
      <t>nd</t>
    </r>
    <r>
      <rPr>
        <b/>
        <i/>
        <sz val="7"/>
        <rFont val="Arial"/>
        <family val="2"/>
      </rPr>
      <t xml:space="preserve"> Destination</t>
    </r>
  </si>
  <si>
    <r>
      <t>2</t>
    </r>
    <r>
      <rPr>
        <b/>
        <i/>
        <vertAlign val="superscript"/>
        <sz val="7"/>
        <rFont val="Arial"/>
        <family val="2"/>
      </rPr>
      <t>nd</t>
    </r>
    <r>
      <rPr>
        <b/>
        <i/>
        <sz val="7"/>
        <rFont val="Arial"/>
        <family val="2"/>
      </rPr>
      <t xml:space="preserve"> Linked  by </t>
    </r>
  </si>
  <si>
    <r>
      <t>3</t>
    </r>
    <r>
      <rPr>
        <b/>
        <i/>
        <vertAlign val="superscript"/>
        <sz val="7"/>
        <rFont val="Arial"/>
        <family val="2"/>
      </rPr>
      <t>rd</t>
    </r>
    <r>
      <rPr>
        <b/>
        <i/>
        <sz val="7"/>
        <rFont val="Arial"/>
        <family val="2"/>
      </rPr>
      <t xml:space="preserve"> Destination</t>
    </r>
  </si>
  <si>
    <r>
      <t>3</t>
    </r>
    <r>
      <rPr>
        <b/>
        <i/>
        <vertAlign val="superscript"/>
        <sz val="7"/>
        <rFont val="Arial"/>
        <family val="2"/>
      </rPr>
      <t>rd</t>
    </r>
    <r>
      <rPr>
        <b/>
        <i/>
        <sz val="7"/>
        <rFont val="Arial"/>
        <family val="2"/>
      </rPr>
      <t xml:space="preserve"> Linked  by </t>
    </r>
  </si>
  <si>
    <t>Instrument Range</t>
  </si>
  <si>
    <t>Measuring Eng. Unit</t>
  </si>
  <si>
    <t>Very Low Threshold</t>
  </si>
  <si>
    <t>Low Threshold</t>
  </si>
  <si>
    <t>High Threshold</t>
  </si>
  <si>
    <t>Very High Threshold</t>
  </si>
  <si>
    <t>STATE OFF</t>
  </si>
  <si>
    <t>STATE ON</t>
  </si>
  <si>
    <t>PLC  Address</t>
  </si>
  <si>
    <t>Notes</t>
  </si>
  <si>
    <t>TB</t>
  </si>
  <si>
    <t>Junction Box</t>
  </si>
  <si>
    <t>9C -1</t>
  </si>
  <si>
    <t>Dimension</t>
  </si>
  <si>
    <t>PLC_Rack</t>
  </si>
  <si>
    <t>PLC_Card</t>
  </si>
  <si>
    <t>PLC_Channel</t>
  </si>
  <si>
    <t>PLC_Address</t>
  </si>
  <si>
    <t>PLC_Cabinet</t>
  </si>
  <si>
    <t>FiltroSEID</t>
  </si>
  <si>
    <t>Tag1 TrenoB</t>
  </si>
  <si>
    <t>AI1</t>
  </si>
  <si>
    <t>4 ÷ 20 mA</t>
  </si>
  <si>
    <t>VibrationTransmitter</t>
  </si>
  <si>
    <t>-</t>
  </si>
  <si>
    <t>Ch8</t>
  </si>
  <si>
    <t>0000000UCP00000000010000000AI10000000Ch8</t>
  </si>
  <si>
    <t>LT-1626</t>
  </si>
  <si>
    <t>Suction Drum Level (Only Comp. A)</t>
  </si>
  <si>
    <t>Ch9</t>
  </si>
  <si>
    <t>0000000UCP00000000010000000AI10000000Ch9</t>
  </si>
  <si>
    <t>SPARE</t>
  </si>
  <si>
    <t>JB-01</t>
  </si>
  <si>
    <t>Ch12</t>
  </si>
  <si>
    <t>0000000UCP00000000010000000AI1000000Ch12</t>
  </si>
  <si>
    <t>Ch13</t>
  </si>
  <si>
    <t>0000000UCP00000000010000000AI1000000Ch13</t>
  </si>
  <si>
    <t>Ch14</t>
  </si>
  <si>
    <t>0000000UCP00000000010000000AI1000000Ch14</t>
  </si>
  <si>
    <t>RTD</t>
  </si>
  <si>
    <t>PT100</t>
  </si>
  <si>
    <t>Ch10</t>
  </si>
  <si>
    <t>0000000UCP00000000010000000AI1000000Ch10</t>
  </si>
  <si>
    <t>JB</t>
  </si>
  <si>
    <t>Ch11</t>
  </si>
  <si>
    <t>0000000UCP00000000010000000AI1000000Ch11</t>
  </si>
  <si>
    <t>Lube Oil Temperature</t>
  </si>
  <si>
    <t>Ch0</t>
  </si>
  <si>
    <t>0000000UCP00000000010000000AI10000000Ch0</t>
  </si>
  <si>
    <t>Ch1</t>
  </si>
  <si>
    <t>0000000UCP00000000010000000AI10000000Ch1</t>
  </si>
  <si>
    <t>Ch2</t>
  </si>
  <si>
    <t>0000000UCP00000000010000000AI10000000Ch2</t>
  </si>
  <si>
    <t>Ch3</t>
  </si>
  <si>
    <t>0000000UCP00000000010000000AI10000000Ch3</t>
  </si>
  <si>
    <t>Ch4</t>
  </si>
  <si>
    <t>0000000UCP00000000010000000AI10000000Ch4</t>
  </si>
  <si>
    <t>Ch5</t>
  </si>
  <si>
    <t>0000000UCP00000000010000000AI10000000Ch5</t>
  </si>
  <si>
    <t>Pulsation Damper Suction Temperature</t>
  </si>
  <si>
    <t>JB-04</t>
  </si>
  <si>
    <t>Ch6</t>
  </si>
  <si>
    <t>0000000UCP00000000010000000AI10000000Ch6</t>
  </si>
  <si>
    <t>Ch7</t>
  </si>
  <si>
    <t>DI1</t>
  </si>
  <si>
    <t>24VDC</t>
  </si>
  <si>
    <t>Lube Oil Pressure</t>
  </si>
  <si>
    <t>Pressure Switch</t>
  </si>
  <si>
    <t>JB-07</t>
  </si>
  <si>
    <t>0000000UCP00000000010000000DI10000000Ch0</t>
  </si>
  <si>
    <t>Water Pressure</t>
  </si>
  <si>
    <t>0000000UCP00000000010000000DI10000000Ch1</t>
  </si>
  <si>
    <t>0000000UCP00000000010000000DI10000000Ch2</t>
  </si>
  <si>
    <t>LSHH-1627</t>
  </si>
  <si>
    <t>Suction Drum Level Switch</t>
  </si>
  <si>
    <t>Level Switch</t>
  </si>
  <si>
    <t>0000000UCP00000000010000000DI10000000Ch3</t>
  </si>
  <si>
    <t>Gas Suction Pressure</t>
  </si>
  <si>
    <t>0000000UCP00000000010000000DI10000000Ch4</t>
  </si>
  <si>
    <t>0000000UCP00000000010000000DI10000000Ch5</t>
  </si>
  <si>
    <t>Cooling Water Flow</t>
  </si>
  <si>
    <t>Flow Switch</t>
  </si>
  <si>
    <t>0000000UCP00000000010000000DI10000000Ch6</t>
  </si>
  <si>
    <t>Cooling Water Level</t>
  </si>
  <si>
    <t>0000000UCP00000000010000000DI10000000Ch7</t>
  </si>
  <si>
    <t>0000000UCP00000000010000000DI10000000Ch8</t>
  </si>
  <si>
    <t>Oil Filter Pressure Drop</t>
  </si>
  <si>
    <t>Differential Pressure Switch</t>
  </si>
  <si>
    <t>0000000UCP00000000010000000DI10000000Ch9</t>
  </si>
  <si>
    <t>Lube Oil Level</t>
  </si>
  <si>
    <t>0000000UCP00000000010000000DI1000000Ch10</t>
  </si>
  <si>
    <t>Lube Oil Heater Safety Temp. Switch</t>
  </si>
  <si>
    <t>Temperature Switch</t>
  </si>
  <si>
    <t>0000000UCP00000000010000000DI1000000Ch11</t>
  </si>
  <si>
    <t>Lube Oil Heater Regulation Temp. Switch</t>
  </si>
  <si>
    <t>0000000UCP00000000010000000DI1000000Ch12</t>
  </si>
  <si>
    <t>Cooling Water Pressure</t>
  </si>
  <si>
    <t>0000000UCP00000000010000000DI1000000Ch13</t>
  </si>
  <si>
    <t>Cooling Water Heater Regulation Temp. Switch</t>
  </si>
  <si>
    <t>0000000UCP00000000010000000DI1000000Ch14</t>
  </si>
  <si>
    <t>Ch15</t>
  </si>
  <si>
    <t>0000000UCP00000000010000000DI1000000Ch15</t>
  </si>
  <si>
    <t>Ch16</t>
  </si>
  <si>
    <t>0000000UCP00000000010000000DI1000000Ch16</t>
  </si>
  <si>
    <t>Ch17</t>
  </si>
  <si>
    <t>0000000UCP00000000010000000DI1000000Ch17</t>
  </si>
  <si>
    <t>Ch18</t>
  </si>
  <si>
    <t>0000000UCP00000000010000000DI1000000Ch18</t>
  </si>
  <si>
    <t>Ch19</t>
  </si>
  <si>
    <t>0000000UCP00000000010000000DI1000000Ch19</t>
  </si>
  <si>
    <t>2Pos. Selector Switch</t>
  </si>
  <si>
    <t>Ch20</t>
  </si>
  <si>
    <t>0000000UCP00000000010000000DI1000000Ch20</t>
  </si>
  <si>
    <t>Lube Oil Pump Start P.B.</t>
  </si>
  <si>
    <t>Ch21</t>
  </si>
  <si>
    <t>0000000UCP00000000010000000DI1000000Ch21</t>
  </si>
  <si>
    <t>Lube Oil Pump Stop P.B.</t>
  </si>
  <si>
    <t>Ch22</t>
  </si>
  <si>
    <t>0000000UCP00000000010000000DI1000000Ch22</t>
  </si>
  <si>
    <t>Ch23</t>
  </si>
  <si>
    <t>0000000UCP00000000010000000DI1000000Ch23</t>
  </si>
  <si>
    <t>Ch24</t>
  </si>
  <si>
    <t>0000000UCP00000000010000000DI1000000Ch24</t>
  </si>
  <si>
    <t>Water Pump PM3-PM4 Start P.B.</t>
  </si>
  <si>
    <t>Ch25</t>
  </si>
  <si>
    <t>0000000UCP00000000010000000DI1000000Ch25</t>
  </si>
  <si>
    <t>Water Pump PM3-PM4 Stop P.B.</t>
  </si>
  <si>
    <t>Ch26</t>
  </si>
  <si>
    <t>0000000UCP00000000010000000DI1000000Ch26</t>
  </si>
  <si>
    <t>Compressor Motor Start P.B.</t>
  </si>
  <si>
    <t>Ch27</t>
  </si>
  <si>
    <t>0000000UCP00000000010000000DI1000000Ch27</t>
  </si>
  <si>
    <t>Compressor Motor Stop P.B.</t>
  </si>
  <si>
    <t>Ch28</t>
  </si>
  <si>
    <t>0000000UCP00000000010000000DI1000000Ch28</t>
  </si>
  <si>
    <t>Reset P.B.</t>
  </si>
  <si>
    <t>Ch29</t>
  </si>
  <si>
    <t>0000000UCP00000000010000000DI1000000Ch29</t>
  </si>
  <si>
    <t>Ack P.B.</t>
  </si>
  <si>
    <t>Ch30</t>
  </si>
  <si>
    <t>0000000UCP00000000010000000DI1000000Ch30</t>
  </si>
  <si>
    <t>Test Lamps P.B.</t>
  </si>
  <si>
    <t>Ch31</t>
  </si>
  <si>
    <t>0000000UCP00000000010000000DI1000000Ch31</t>
  </si>
  <si>
    <t>DI2</t>
  </si>
  <si>
    <t>Emergency Stop Local P.B.</t>
  </si>
  <si>
    <t>Red Mushroom Pushbutton</t>
  </si>
  <si>
    <t>DI - Exhauster Mode Enable</t>
  </si>
  <si>
    <t>DI – MAC Mode Enable</t>
  </si>
  <si>
    <t>DI - MAC Constant Pressure Mode Enable</t>
  </si>
  <si>
    <t>DI – MAC HIC Mode Enable</t>
  </si>
  <si>
    <t>DI – Start</t>
  </si>
  <si>
    <t>DI – Stop</t>
  </si>
  <si>
    <t>DI – Auto (Load)</t>
  </si>
  <si>
    <t>DI – Unload</t>
  </si>
  <si>
    <t>Lube Oil Heater Feedback</t>
  </si>
  <si>
    <t>Dry Contact</t>
  </si>
  <si>
    <t>DI – Remote E-stop</t>
  </si>
  <si>
    <t>Cooling Water Heater On Feedback</t>
  </si>
  <si>
    <t>Lube Oil Pump On Feedback</t>
  </si>
  <si>
    <t>Water Pump PM3 Feedback</t>
  </si>
  <si>
    <t>Water Pump PM4 Feedback</t>
  </si>
  <si>
    <t>Water Pump PM3 Electric Failure</t>
  </si>
  <si>
    <t>Water Pump PM4 Electric Failure</t>
  </si>
  <si>
    <t>Compressor Running Feedback</t>
  </si>
  <si>
    <t>Pressure Switch Drum Off Customer</t>
  </si>
  <si>
    <t>JB-08</t>
  </si>
  <si>
    <t>DO1</t>
  </si>
  <si>
    <t>0000000UCP00000000010000000DO10000000Ch0</t>
  </si>
  <si>
    <t>Pressure Switch Drum On Customer</t>
  </si>
  <si>
    <t>0000000UCP00000000010000000DO10000000Ch1</t>
  </si>
  <si>
    <t>Emergency Shutdown DCS P.B.</t>
  </si>
  <si>
    <t>0000000UCP00000000010000000DO10000000Ch2</t>
  </si>
  <si>
    <t>0000000UCP00000000010000000DO10000000Ch3</t>
  </si>
  <si>
    <t>0000000UCP00000000010000000DO10000000Ch4</t>
  </si>
  <si>
    <t>0000000UCP00000000010000000DO10000000Ch5</t>
  </si>
  <si>
    <t>0000000UCP00000000010000000DO10000000Ch8</t>
  </si>
  <si>
    <t>0000000UCP00000000010000000DO10000000Ch9</t>
  </si>
  <si>
    <t>0000000UCP00000000010000000DO1000000Ch10</t>
  </si>
  <si>
    <t>0000000UCP00000000010000000DO1000000Ch11</t>
  </si>
  <si>
    <t>0000000UCP00000000010000000DO1000000Ch12</t>
  </si>
  <si>
    <t>0000000UCP00000000010000000DO1000000Ch13</t>
  </si>
  <si>
    <t>0000000UCP00000000010000000DO1000000Ch14</t>
  </si>
  <si>
    <t>0000000UCP00000000010000000DO1000000Ch15</t>
  </si>
  <si>
    <t>0000000UCP00000000010000000DO1000000Ch16</t>
  </si>
  <si>
    <t>0000000UCP00000000010000000DO1000000Ch17</t>
  </si>
  <si>
    <t>Very Low Lube Oil Pressure</t>
  </si>
  <si>
    <t>Red Lamp</t>
  </si>
  <si>
    <t>0000000UCP00000000010000000DO1000000Ch18</t>
  </si>
  <si>
    <t>0000000UCP00000000010000000DO1000000Ch19</t>
  </si>
  <si>
    <t>0000000UCP00000000010000000DO1000000Ch20</t>
  </si>
  <si>
    <t>0000000UCP00000000010000000DO1000000Ch21</t>
  </si>
  <si>
    <t>Very Low Water Pressure</t>
  </si>
  <si>
    <t>0000000UCP00000000010000000DO1000000Ch22</t>
  </si>
  <si>
    <t>Very High Gas Discharge Temp. 1st Stage Cyl. n.2</t>
  </si>
  <si>
    <t>0000000UCP00000000010000000DO1000000Ch23</t>
  </si>
  <si>
    <t>Very High Gas Discharge Temp. 1st Stage Cyl. n.1</t>
  </si>
  <si>
    <t>Very High Gas Discharge Pressure</t>
  </si>
  <si>
    <t>Very High Cooling Water Temp. 1st Stage Cyl. n.2</t>
  </si>
  <si>
    <t>Very High Cooling Water Temp. 1st Stage Cyl. n.1</t>
  </si>
  <si>
    <t>LAHH-1627</t>
  </si>
  <si>
    <t>Very high Suction Drum Level</t>
  </si>
  <si>
    <t>0000000UCP00000000010000000DO1000000Ch26</t>
  </si>
  <si>
    <t>Very Low Gas Suction Pressure</t>
  </si>
  <si>
    <t>High Gas Discharge Temp. 1st Stage Cyl. n.1</t>
  </si>
  <si>
    <t>Yellow Lamp</t>
  </si>
  <si>
    <t>0000000UCP00000000010000000DO1000000Ch27</t>
  </si>
  <si>
    <t>High Gas Discharge Temp. 1st Stage Cyl. n.2</t>
  </si>
  <si>
    <t>High Gas Discharge Pressure</t>
  </si>
  <si>
    <t>0000000UCP00000000010000000DO1000000Ch28</t>
  </si>
  <si>
    <t>Low Cooling Water Temp. Inlet Manifold</t>
  </si>
  <si>
    <t>Low Cooling Water Flow</t>
  </si>
  <si>
    <t>Low Cooling Water Level</t>
  </si>
  <si>
    <t>Low Lube Oil Pressure</t>
  </si>
  <si>
    <t>High Oil Filter Pressure Drop</t>
  </si>
  <si>
    <t>0000000UCP00000000010000000DO1000000Ch24</t>
  </si>
  <si>
    <t>Low Lube Oil Level</t>
  </si>
  <si>
    <t>0000000UCP00000000010000000DO1000000Ch25</t>
  </si>
  <si>
    <t>0000000UCP00000000010000000DO1000000Ch29</t>
  </si>
  <si>
    <t>Very High Compressor Grankcase Vibration</t>
  </si>
  <si>
    <t>High Compressor Motor Winding Temp.</t>
  </si>
  <si>
    <t>0000000UCP00000000010000000DO1000000Ch30</t>
  </si>
  <si>
    <t>LAH-1626</t>
  </si>
  <si>
    <t>High Suction Drum Level</t>
  </si>
  <si>
    <t>0000000UCP00000000010000000DO1000000Ch31</t>
  </si>
  <si>
    <t>Lube Oil Heater High Temperature</t>
  </si>
  <si>
    <t>High Cooling Water Manifold</t>
  </si>
  <si>
    <t/>
  </si>
  <si>
    <t>DO2</t>
  </si>
  <si>
    <t>Lube Oil Heater On</t>
  </si>
  <si>
    <t>Green Lamp</t>
  </si>
  <si>
    <t>Cooling Water Heater On</t>
  </si>
  <si>
    <t>Aux. Lube Oil Pump On</t>
  </si>
  <si>
    <t>Aux. Lube Oil Pump Stopped</t>
  </si>
  <si>
    <t>Cooling Water Pump PM3 Running</t>
  </si>
  <si>
    <t>Cooling Water Pump PM3 Stopped</t>
  </si>
  <si>
    <t>Cooling Water Pump PM4 Running</t>
  </si>
  <si>
    <t>Cooling Water Pump PM4 Stopped</t>
  </si>
  <si>
    <t xml:space="preserve">Compressor Running </t>
  </si>
  <si>
    <t>Compressor Stopped Long Time Unloading</t>
  </si>
  <si>
    <t>Low Water Pressure</t>
  </si>
  <si>
    <t>DO3</t>
  </si>
  <si>
    <t>Lube Oil Heater ON / OFF Command</t>
  </si>
  <si>
    <t>Relay Dry Contact</t>
  </si>
  <si>
    <t>Cooling Water Heater ON / OFF Command</t>
  </si>
  <si>
    <t>Aux Lube Oil Pump OFF / ON Command</t>
  </si>
  <si>
    <t>Cooling Water PM3  OFF / ON Command</t>
  </si>
  <si>
    <t>Fan Cooler Motor OFF / ON Command</t>
  </si>
  <si>
    <t>Cooling Water PM4 OFF / ON Command</t>
  </si>
  <si>
    <t>Compressor Motor Heater ON / OFF Command</t>
  </si>
  <si>
    <t>Loading Sol. Valve SV-100 Cyl. n.1 - CE Command</t>
  </si>
  <si>
    <t>Loading Sol. Valve SV-101 Cyl. n.1 - HE Command</t>
  </si>
  <si>
    <t>Loading Sol. Valve SV-102 Cyl. n.2 - HE Command</t>
  </si>
  <si>
    <t>Loading Sol. Valve SV-103 Cyl. n.2 - CE Command</t>
  </si>
  <si>
    <t>Water Solenoid Valve SV- 400 Command</t>
  </si>
  <si>
    <t>Common Alarms</t>
  </si>
  <si>
    <t>Common Trips</t>
  </si>
  <si>
    <t>Horn</t>
  </si>
  <si>
    <t>Compressor Ready to Start</t>
  </si>
  <si>
    <t>0000000UCP000000000000000000000000000000</t>
  </si>
  <si>
    <t>0000000UCP000000000000000000000000000000ﯻ￻ﳼ￼ﯻ￻ﳼ￼ﳼ￼ﳼ￼ﳼ￼ﳼ￼ﳼ￼ﳼ￼ﳼ￼ﳼ￼ﳼ￼ﳼ￼ﳼ￼ﳼ￼ﳼ￼ﳼ￼ﳼ￼ﳼ￼ﳼ￼ﳼ￼ﳼ￼ﳼ￼ﳼ￼ﳼ￼ﳼ￼ﳼ￼ﳼ￼ﳼ￼ﳼ￼ﳼ￼ﳼ￼ﳼ￼ﳼ￼ﳼ￼ﳼ￼ﯻ￻ﳼ￼ﯻ￻ﯻ￻ﳼ￼ﯻ￻ﳼ￼ﳼ￼ﳼ￼ﳼ￼ﳼ￼ﳼ￼ﯻ￻ﳼ￼ﯻ￻ﯻ￻ﳼ￼ﯻ￻ﳼ￼ﳼ￼ﳼ￼ﳼ￼ﳼ￼ﳼ￼ﯻ￻ﳼ￼ﯻ￻ﯻ￻ﳼ￼ﯻ￻ﳼ￼ﳼ￼ﳼ￼ﳼ￼ﳼ￼ﳼ￼ﳼ￼ﳼ￼ﳼ￼ﳼ￼ﳼ￼ﳼ￼ﳼ￼ﳼ￼ﳼ￼ﳼ￼ﳼ￼ﳼ￼ﳼ￼ﳼ￼ﳼ￼ﳼ￼ﳼ￼ﳼ￼ﳼ￼ﳼ￼ﳼ￼ﳼ￼ﳼ￼ﳼ￼ﳼ￼ﳼ￼ﳼ￼ﳼ￼ﯻ￻ﳼ￼ﯻ￻ﯻ￻ﳼ￼ﯻ￻ﳼ￼ﳼ￼ﳼ￼ﳼ￼ﳼ￼ﳼ￼ﯻ￻ﳼ￼ﯻ￻ﯻ￻ﳼ￼ﯻ￻ﳼ￼ﳼ￼ﳼ￼ﳼ￼ﳼ￼ﳼ￼ﯻ￻ﳼ￼ﯻ￻ﯻ￻ﳼ￼ﯻ￻ﳼ￼ﳼ￼ﳼ￼ﳼ￼ﳼ￼ﳼ￼ﳼ￼ﳼ￼ﳼ￼ﳼ￼ﳼ￼ﳼ￼ﳼ￼ﳼ￼ﳼ￼ﳼ￼ﳼ￼ﳼ￼ﳼ￼ﳼ￼ﳼ￼ﳼ￼ﳼ￼ﳼ￼ﳼ￼ﳼ￼￴ﳼ￼ﳼ￼ﳼ￼ﳼ￼ﳼ￼ﳼ￼ﳼ￼ﯻ￻ﳼ￼ﯻ￻ﯻ￻ﳼ￼ﯻ￻ﳼ￼ﳼ￼ﳼ￼ﳼ￼ﳼ￼ﳼ￼ﯻ￻ﳼ￼ﯻ￻ﯻ￻ﳼ￼ﯻ￻ﳼ￼ﳼ￼ﳼ￼ﳼ￼ﳼ￼￴ﯻ￻ﳼ￼ﯻ￻ﯻ￻ﳼ￼ﯻ￻ﳼ￼ﳼ￼ﳼ￼ﳼ￼ﳼ￼ﳼ￼ﳼ￼ﳼ￼ﳼ￼ﳼ￼ﳼ￼ﳼ￼ﳼ￼ﳼ￼ﳼ￼ﳼ￼ﳼ￼ﳼ￼ﳼ￼ﳼ￼ﳼ￼ﳼ￼ﳼ￼ﳼ￼ﳼ￼ﳼ￼ﳼ￼ﳼ￼ﳼ￼ﳼ￼ﳼ￼ﳼ￼ﳼ￼ﳼ￼ﯻ￻ﳼ￼ﯻ￻ﯻ￻ﳼ￼ﯻ￻ﳼ￼ﳼ￼ﳼ￼ﳼ￼ﳼ￼ﳼ￼ﯻ￻ﳼ￼ﯻ￻ﯻ￻ﳼ￼ﯻ￻ﳼ￼ﳼ￼ﳼ￼ﳼ￼ﳼ￼ﳼ￼ﯻ￻ﳼ￼ﯻ￻ﯻ￻ﳼ￼ﯻ￻ﳼ￼ﳼ￼ﳼ￼ﳼ￼ﳼ￼ﳼ￼ﳼ￼ﳼ￼ﳼ￼￳ﳼ￼ﳼ￼ﳼ￼ﳼ￼ﳼ￼ﳼ￼ﳼ￼ﳼ￼ﳼ￼ﳼ￼ﳼ￼ﳼ￼ﳼ￼ﳼ￼ﳼ￼ﳼ￼ﳼ￼ﳼ￼ﳼ￼ﳼ￼ﳼ￼ﳼ￼ﳼ￼ﳼ￼ﯻ￻ﳼ￼ﯻ￻ﯻ￻ﳼ￼ﯻ￻ﳼ￼ﳼ￼ﳼ￼ﳼ￼ﳼ￼ﳼ￼ﯻ￻ﳼ￼ﯻ￻ﯻ￻ﳼ￼ﯻ￻ﳼ￼ﳼ￼ﳼ￼ﳼ￼ﳼ￼ﳼ￼ﯻ￻ﳼ￼ﯻ￻ﯻ￻ﳼ￼ﯻ￻ﳼ￼ﳼ￼ﳼ￼ﳼ￼ﳼ￼ﳼ￼ﳼ￼ﳼ￼ﳼ￼ﳼ￼ﳼ￼ﳼ￼ﳼ￼ﳼ￼ﳼ￼ﳼ￼ﳼ￼ﳼ￼ﳼ￼ﳼ￼ﳼ￼ﳼ￼ﳼ￼ﳼ￼ﳼ￼￴ﳼ￼ﳼ￼ﳼ￼ﳼ￼ﳼ￼ﳼ￼ﳼ￼ﳼ￼ﯻ￻ﳼ￼ﯻ￻ﯻ￻ﳼ￼ﯻ￻ﳼ￼ﳼ￼ﳼ￼ﳼ￼ﳼ￼ﳼ￼ﯻ￻ﳼ￼ﯻ￻ﯻ￻ﳼ￼ﯻ￻ﳼ￼ﳼ￼ﳼ￼ﳼ￼ﳼ￼ﳼ￼ﯻ￻ﳼ￼ﯻ￻ﯻ￻ﳼ￼ﯻ￻ﳼ￼ﳼ￼ﳼ￼ﳼ￼ﳼ￼ﳼ￼ﳼ￼ﳼ￼ﳼ￼ﳼ￼ﳼ￼￳ﳼ￼ﳼ￼ﳼ￼ﳼ￼ﳼ￼ﳼ￼ﳼ￼ﳼ￼ﳼ￼ﳼ￼ﳼ￼ﳼ￼ﳼ￼ﳼ￼ﳼ￼ﳼ￼ﳼ￼ﳼ￼ﳼ￼ﳼ￼ﳼ￼￳ﯻ￻ﳼ￼ﯻ￻ﯻ￻ﳼ￼ﯻ￻ﳼ￼ﳼ￼ﳼ￼ﳼ￼ﳼ￼ﳼ￼ﯻ￻ﯻ￻ﳼ￼ﳼ￼ﯻ￻ﳼ￼ﯻ￻ﯻ￻ﳼ￼ﯻ￻ﳼ￼ﳼ￼ﳼ￼ﳼ￼ﳼ￼ﳼ￼ﯻ￻ﳼ￼ﯻ￻ﯻ￻ﳼ￼ﯻ￻ﳼ￼ﳼ￼ﯻ￻ﳼ￼ﯻ￻ﯻ￻ﳼ￼ﯻ￻ﳼ￼ﳼ￼ﯻ￻ﳼ￼ﯻ￻ﯻ￻ﯻ￻ﯻ￻ﯻ￻ﯻ￻ﯻ￻ﯻ￻ﯻ￻ﯻ￻ﳼ￼ﯻ￻ﳼ￼ﳼ￼ﯻ￻ﳼ￼ﯻ￻ﯻ￻ﳼ￼ﯻ￻ﳼ￼ﳼ￼ﳼ￼ﳼ￼ﳼ￼ﳼ￼ﯻ￻ﳼ￼ﯻ￻ﯻ￻ﳼ￼ﯻ￻￳ﳼ￼ﯻ￻ﳼ￼ﯻ￻ﯻ￻ﳼ￼ﯻ￻ﳼ￼ﳼ￼ﳼ￼ﳼ￼ﳼ￼ﳼ￼ﯻ￻ﳼ￼ﯻ￻ﯻ￻ﳼ￼ﯻ￻ﳼ￼ﳼ￼ﯻ￻ﳼ￼ﯻ￻ﯻ￻ﳼ￼ﯻ￻ﳼ￼ﳼ￼ﯻ￻ﳼ￼ﯻ￻ﯻ￻ﯻ￻ﯻ￻ﯻ￻ﯻ￻ﯻ￻ﯻ￻ﯻ￻ﯻ￻ﳼ￼ﯻ￻ﳼ￼ﳼ￼ﯻ￻ﳼ￼ﯻ￻ﯻ￻ﳼ￼ﯻ￻ﳼ￼ﳼ￼ﳼ￼ﳼ￼ﳼ￼ﳼ￼ﯻ￻ﳼ￼ﯻ￻ﯻ￻ﳼ￼ﯻ￻ﳼ￼ﳼ￼ﯻ￻ﳼ￼ﯻ￻ﯻ￻ﳼ￼ﯻ￻ﳼ￼ﳼ￼ﳼ￼ﳼ￼ﳼ￼ﳼ￼ﯻ￻ﳼ￼ﯻ￻ﯻ￻ﳼ￼ﯻ￻ﳼ￼ﳼ￼ﯻ￻ﳼ￼ﯻ￻ﯻ￻ﳼ￼ﯻ￻ﳼ￼ﳼ￼ﯻ￻ﳼ￼ﯻ￻ﯻ￻ﯻ￻ﯻ￻ﯻ￻ﯻ￻ﯻ￻ﯻ￻ﯻ￻ﯻ￻ﳼ￼ﯻ￻ﳼ￼ﳼ￼ﯻ￻ﳼ￼ﯻ￻ﯻ￻ﳼ￼ﯻ￻ﳼ￼ﳼ￼ﳼ￼ﳼ￼ﳼ￼ﳼ￼ﯻ￻ﳼ￼ﯻ￻ﯻ￻ﳼ￼ﯻ￻ﳼ￼ﳼ￼ﯻ￻ﳼ￼ﯻ￻ﯻ￻ﳼ￼ﯻ￻ﳼ￼ﳼ￼ﳼ￼ﳼ￼ﳼ￼ﳼ￼ﯻ￻ﳼ￼ﯻ￻ﯻ￻ﳼ￼ﯻ￻ﳼ￼ﳼ￼ﯻ￻ﳼ￼ﯻ￻ﯻ￻ﳼ￼ﯻ￻ﳼ￼ﳼ￼ﯻ￻ﳼ￼ﯻ￻ﯻ￻ﯻ￻ﯻ￻ﯻ￻ﯻ￻ﯻ￻ﯻ￻ﯻ￻ﯻ￻￳ﯻ￻ﳼ￼ﳼ￼ﯻ￻ﳼ￼ﯻ￻ﯻ￻ﳼ￼ﯻ￻ﳼ￼ﳼ￼ﳼ￼ﳼ￼ﳼ￼ﳼ￼ﯻ￻ﳼ￼ﯻ￻ﯻ￻ﳼ￼ﯻ￻ﳼ￼ﳼ￼ﯻ￻ﳼ￼ﯻ￻ﯻ￻ﳼ￼ﯻ￻ﳼ￼￲ﳼ￼ﳼ￼ﳼ￼ﳼ￼ﯻ￻ﳼ￼ﯻ￻ﯻ￻ﳼ￼ﯻ￻ﳼ￼ﳼ￼ﯻ￻ﳼ￼ﯻ￻ﯻ￻ﳼ￼ﯻ￻ﳼ￼ﳼ￼ﯻ￻ﳼ￼ﯻ￻ﯻ￻ﯻ￻ﯻ￻ﯻ￻ﯻ￻ﯻ￻ﯻ￻ﯻ￻ﯻ￻ﳼ￼ﯻ￻ﳼ￼ﳼ￼ﯻ￻ﳼ￼ﯻ￻ﯻ￻ﳼ￼ﯻ￻ﳼ￼ﳼ￼ﳼ￼ﳼ￼ﳼ￼ﳼ￼ﯻ￻ﳼ￼ﯻ￻ﯻ￻ﳼ￼ﯻ￻ﳼ￼ﳼ￼ﯻ￻ﳼ￼ﯻ￻ﯻ￻ﳼ￼ﯻ￻ﳼ￼ﳼ￼ﳼ￼ﳼ￼ﳼ￼ﳼ￼ﯻ￻ﳼ￼ﯻ￻ﯻ￻ﳼ￼ﯻ￻ﳼ￼ﳼ￼ﯻ￻ﳼ￼ﯻ￻￲ﳼ￼ﯻ￻ﳼ￼ﳼ￼ﯻ￻ﳼ￼ﯻ￻ﯻ￻ﯻ￻ﯻ￻ﯻ￻ﯻ￻ﯻ￻ﯻ￻ﯻ￻ﯻ￻ﳼ￼ﯻ￻ﳼ￼ﳼ￼ﯻ￻ﳼ￼ﯻ￻ﯻ￻ﳼ￼ﯻ￻ﳼ￼ﳼ￼ﳼ￼ﳼ￼ﳼ￼ﳼ￼ﯻ￻ﳼ￼ﯻ￻ﯻ￻ﳼ￼ﯻ￻ﳼ￼ﳼ￼ﯻ￻ﳼ￼ﯻ￻ﯻ￻ﳼ￼ﯻ￻ﳼ￼ﳼ￼ﳼ￼ﳼ￼ﳼ￼ﳼ￼ﯻ￻ﳼ￼ﯻ￻ﯻ￻ﳼ￼ﯻ￻ﳼ￼ﳼ￼ﯻ￻ﳼ￼ﯻ￻ﯻ￻ﳼ￼ﯻ￻ﳼ￼ﳼ￼ﯻ￻ﳼ￼ﯻ￻ﯻ￻ﯻ￻ﯻ￻ﯻ￻ﯻ￻ﯻ￻ﯻ￻ﯻ￻￲ﳼ￼ﯻ￻ﳼ￼ﳼ￼ﯻ￻ﳼ￼ﯻ￻ﯻ￻ﳼ￼ﯻ￻ﳼ￼ﳼ￼ﳼ￼ﳼ￼ﳼ￼ﳼ￼ﯻ￻ﳼ￼ﯻ￻ﯻ￻ﳼ￼ﯻ￻ﳼ￼ﳼ￼ﯻ￻ﳼ￼ﯻ￻ﯻ￻ﳼ￼ﯻ￻ﳼ￼ﳼ￼ﳼ￼ﳼ￼ﳼ￼ﳼ￼ﯻ￻ﳼ￼ﯻ￻ﯻ￻ﳼ￼ﯻ￻ﳼ￼ﳼ￼ﯻ￻ﳼ￼ﯻ￻ﯻ￻ﳼ￼￲ﳼ￼ﳼ￼ﯻ￻ﳼ￼ﯻ￻ﯻ￻ﯻ￻ﯻ￻ﯻ￻ﯻ￻ﯻ￻ﯻ￻ﯻ￻ﯻ￻ﳼ￼ﯻ￻ﳼ￼ﳼ￼ﯻ￻ﳼ￼ﯻ￻￲ﳼ￼ﯻ￻ﳼ￼ﳼ￼ﳼ￼ﳼ￼ﳼ￼ﳼ￼ﯻ￻ﳼ￼ﯻ￻ﯻ￻ﳼ￼ﳼ￼ﯻ￻ﯻ￻ﳼ￼ﯻ￻ﳼ￼ﳼ￼ﯻ￻ﳼ￼ﯻ￻ﯻ￻ﯻ￻ﯻ￻ﯻ￻ﯻ￻ﳼ￼ﯻ￻ﳼ￼ﳼ￼ﯻ￻ﳼ￼ﯻ￻ﯻ￻ﳼ￼ﯻ￻ﳼ￼ﳼ￼ﯻ￻ﳼ￼ﯻ￻ﯻ￻ﯻ￻ﯻ￻ﯻ￻ﯻ￻ﳼ￼ﯻ￻ﳼ￼ﳼ￼ﯻ￻ﳼ￼ﯻ￻ﯻ￻ﳼ￼ﯻ￻ﳼ￼ﳼ￼ﯻ￻ﳼ￼ﯻ￻ﯻ￻ﯻ￻ﯻ￻ﯻ￻ﯻ￻ﯻ￻ﯻ￻ﯻ￻ﯻ￻ﳼ￼ﯻ￻ﳼ￼ﳼ￼ﯻ￻ﳼ￼￰ﯻ￻ﳼ￼ﯻ￻ﳼ￼ﳼ￼ﯻ￻ﳼ￼ﯻ￻ﯻ￻ﯻ￻ﯻ￻ﯻ￻ﯻ￻ﳼ￼ﯻ￻ﳼ￼ﳼ￼ﯻ￻ﳼ￼ﯻ￻ﯻ￻ﳼ￼ﯻ￻ﳼ￼ﳼ￼ﯻ￻ﳼ￼ﯻ￻ﯻ￻ﯻ￻ﯻ￻ﯻ￻ﯻ￻ﳼ￼ﯻ￻ﳼ￼ﳼ￼ﯻ￻ﳼ￼ﯻ￻ﯻ￻ﳼ￼ﯻ￻ﳼ￼ﳼ￼ﯻ￻ﳼ￼ﯻ￻ﯻ￻ﯻ￻ﯻ￻ﯻ￻ﯻ￻ﯻ￻ﯻ￻ﯻ￻ﯻ￻ﳼ￼ﯻ￻ﳼ￼ﳼ￼ﯻ￻ﳼ￼ﯻ￻ﯻ￻ﳼ￼ﯻ￻ﳼ￼ﳼ￼ﯻ￻ﳼ￼ﯻ￻ﯻ￻ﯻ￻ﯻ￻ﯻ￻ﯻ￻ﳼ￼ﯻ￻ﳼ￼ﳼ￼ﯻ￻ﳼ￼ﯻ￻ﯻ￻ﳼ￼ﯻ￻ﳼ￼ﳼ￼ﯻ￻ﳼ￼ﯻ￻ﯻ￻ﯻ￻ﯻ￻ﯻ￻ﯻ￻ﳼ￼ﯻ￻ﳼ￼ﳼ￼ﯻ￻ﳼ￼ﯻ￻ﯻ￻ﳼ￼ﯻ￻ﳼ￼ﳼ￼ﯻ￻ﳼ￼ﯻ￻ﯻ￻ﯻ￻ﯻ￻ﯻ￻ﯻ￻ﯻ￻ﯻ￻ﯻ￻ﯻ￻ﳼ￼ﯻ￻ﳼ￼ﳼ￼ﯻ￻ﳼ￼ﯻ￻ﯻ￻ﳼ￼ﯻ￻ﳼ￼ﳼ￼ﯻ￻ﳼ￼ﯻ￻ﯻ￻ﯻ￻ﯻ￻ﯻ￻ﯻ￻ﳼ￼ﯻ￻ﳼ￼ﳼ￼ﯻ￻ﳼ￼ﯻ￻ﯻ￻ﳼ￼ﯻ￻ﳼ￼ﳼ￼ﯻ￻ﳼ￼ﯻ￻ﯻ￻ﯻ￻ﯻ￻ﯻ￻ﯻ￻ﳼ￼ﯻ￻ﳼ￼ﳼ￼ﯻ￻ﳼ￼ﯻ￻ﯻ￻￱ﯻ￻ﳼ￼ﳼ￼ﯻ￻ﳼ￼ﯻ￻ﯻ￻ﯻ￻ﯻ￻ﯻ￻ﯻ￻ﯻ￻ﯻ￻ﯻ￻ﯻ￻ﳼ￼ﯻ￻ﳼ￼ﳼ￼ﯻ￻ﳼ￼ﯻ￻ﯻ￻ﳼ￼ﯻ￻ﳼ￼ﳼ￼ﯻ￻ﳼ￼ﯻ￻￰ﯻ￻ﯻ￻ﯻ￻ﯻ￻ﳼ￼ﯻ￻ﳼ￼ﳼ￼ﯻ￻ﳼ￼ﯻ￻ﯻ￻ﳼ￼ﯻ￻ﳼ￼ﳼ￼ﯻ￻ﳼ￼ﯻ￻ﯻ￻ﯻ￻ﯻ￻ﯻ￻ﯻ￻ﳼ￼ﯻ￻ﳼ￼ﳼ￼ﯻ￻ﳼ￼ﯻ￻ﯻ￻ﳼ￼ﯻ￻ﳼ￼ﳼ￼ﯻ￻ﳼ￼ﯻ￻ﯻ￻ﯻ￻ﯻ￻ﯻ￻ﯻ￻ﯻ￻ﯻ￻ﯻ￻ﯻ￻ﳼ￼ﯻ￻ﳼ￼ﳼ￼ﯻ￻ﳼ￼ﯻ￻ﯻ￻ﳼ￼ﯻ￻ﳼ￼ﳼ￼ﯻ￻ﳼ￼ﯻ￻ﯻ￻ﯻ￻ﯻ￻ﯻ￻ﯻ￻ﳼ￼ﯻ￻ﳼ￼ﳼ￼ﯻ￻ﳼ￼ﯻ￻ﯻ￻ﳼ￼ﯻ￻ﳼ￼￰ﯻ￻ﳼ￼ﯻ￻ﯻ￻ﯻ￻ﯻ￻ﯻ￻ﯻ￻ﳼ￼ﯻ￻ﳼ￼ﳼ￼ﯻ￻ﳼ￼ﯻ￻ﯻ￻ﳼ￼ﯻ￻ﳼ￼ﳼ￼ﯻ￻ﳼ￼ﯻ￻ﯻ￻ﯻ￻ﯻ￻ﯻ￻ﯻ￻ﯻ￻ﯻ￻ﯻ￻ﯻ￻ﳼ￼ﯻ￻ﳼ￼ﳼ￼ﯻ￻ﳼ￼ﯻ￻ﯻ￻ﳼ￼ﯻ￻ﳼ￼ﳼ￼ﯻ￻ﳼ￼ﯻ￻ﯻ￻ﯻ￻ﯻ￻ﯻ￻ﯻ￻ﳼ￼ﯻ￻ﳼ￼ﳼ￼ﯻ￻ﳼ￼ﯻ￻ﯻ￻ﳼ￼ﯻ￻ﳼ￼ﳼ￼ﯻ￻ﳼ￼ﯻ￻ﯻ￻ﯻ￻ﯻ￻ﯻ￻ﯻ￻ﳼ￼ﯻ￻ﳼ￼ﳼ￼ﯻ￻ﳼ￼ﯻ￻￰ﳼ￼ﯻ￻ﳼ￼ﳼ￼ﯻ￻ﳼ￼ﯻ￻ﯻ￻ﯻ￻ﯻ￻ﯻ￻ﯻ￻ﯻ￻ﯻ￻ﯻ￻ﯻ￻ﳼ￼ﯻ￻ﳼ￼ﳼ￼ﯻ￻ﳼ￼ﯻ￻ﯻ￻ﳼ￼ﯻ￻ﳼ￼ﳼ￼ﯻ￻ﳼ￼ﯻ￻ﯻ￻ﯻ￻ﯻ￻ﯻ￻ﯻ￻ﳼ￼ﯻ￻ﳼ￼ﳼ￼ﯻ￻ﳼ￼ﯻ￻ﯻ￻ﳼ￼ﯻ￻ﳼ￼ﳼ￼ﯻ￻￰ﯻ￻ﯻ￻ﯻ￻ﯻ￻ﯻ￻ﯻ￻ﳼ￼ﯻ￻ﳼ￼ﳼ￼ﯻ￻ﳼ￼ﯻ￻ﯻ￻ﳼ￼ﯻ￻ﳼ￼ﳼ￼ﯻ￻ﳼ￼ﯻ￻￰ﯻ￻ﯻ￻ﯻ￻ﯻ￻ﯻ￻ﯻ￻ﯻ￻ﯻ￻ﳼ￼ﯻ￻ﳼ￼ﳼ￼ﯻ￻﫺￺ﯻ￻ﯻ￻ﯻ￻ﯻ￻ﯻ￻ﯻ￻﫺￺ﯻ￻﫺￺﫺￺ﯻ￻﫺￺ﯻ￻ﯻ￻ﯻ￻ﯻ￻ﯻ￻ﯻ￻ﯻ￻ﯻ￻ﯻ￻ﯻ￻ﯻ￻ﯻ￻ﯻ￻ﯻ￻ﯻ￻ﯻ￻ﯻ￻ﯻ￻</t>
  </si>
  <si>
    <t>Black Pushbutton</t>
  </si>
  <si>
    <t>Green Pushbutton</t>
  </si>
  <si>
    <t>Red Pushbutton</t>
  </si>
  <si>
    <t>°C</t>
  </si>
  <si>
    <t>Kg/cm2</t>
  </si>
  <si>
    <t>mm/s, pk</t>
  </si>
  <si>
    <t>VT-500A</t>
  </si>
  <si>
    <t>Compressor Crankcase Vibration</t>
  </si>
  <si>
    <t>TE-800A</t>
  </si>
  <si>
    <t>TE-801A</t>
  </si>
  <si>
    <t>TE-802A</t>
  </si>
  <si>
    <t>TE-401A</t>
  </si>
  <si>
    <t>TE-403A</t>
  </si>
  <si>
    <t>TE-404A</t>
  </si>
  <si>
    <t>TE-100A</t>
  </si>
  <si>
    <t>TE-1451A</t>
  </si>
  <si>
    <t>TE-1452A</t>
  </si>
  <si>
    <t>TE-501A</t>
  </si>
  <si>
    <t>TE-500A</t>
  </si>
  <si>
    <t>TE-402A</t>
  </si>
  <si>
    <t>TE-1454A</t>
  </si>
  <si>
    <t>TE-1453A</t>
  </si>
  <si>
    <t>TE-400A</t>
  </si>
  <si>
    <t>TE-600A-1</t>
  </si>
  <si>
    <t>Main Motor Winding U Phase Temperature</t>
  </si>
  <si>
    <t>TE-600A-2</t>
  </si>
  <si>
    <t>Main Motor Winding V Phase Temperature</t>
  </si>
  <si>
    <t>TE-600A-3</t>
  </si>
  <si>
    <t>Main Motor Winding W Phase Temperature</t>
  </si>
  <si>
    <t>PSLL-800A</t>
  </si>
  <si>
    <t>PSLL-400A</t>
  </si>
  <si>
    <t>PSHH-300A</t>
  </si>
  <si>
    <t>PSLL-100A</t>
  </si>
  <si>
    <t>PSH-300A</t>
  </si>
  <si>
    <t>FSL-400A</t>
  </si>
  <si>
    <t>LSL-400A</t>
  </si>
  <si>
    <t>PSL-800A</t>
  </si>
  <si>
    <t>LSL-800A</t>
  </si>
  <si>
    <t>TSH-800A</t>
  </si>
  <si>
    <t>TC-800A</t>
  </si>
  <si>
    <t>PSL-400A</t>
  </si>
  <si>
    <t>TC-400A</t>
  </si>
  <si>
    <t>HS-1A</t>
  </si>
  <si>
    <t>HS-2A</t>
  </si>
  <si>
    <t>HS-3A</t>
  </si>
  <si>
    <t>HS-4A-1</t>
  </si>
  <si>
    <t>HS-4A-2</t>
  </si>
  <si>
    <t>HS-5A</t>
  </si>
  <si>
    <t>HS-6A</t>
  </si>
  <si>
    <t>KLO-HFA</t>
  </si>
  <si>
    <t>KCW-HFA</t>
  </si>
  <si>
    <t>KLO-PFA</t>
  </si>
  <si>
    <t>KWP-3A</t>
  </si>
  <si>
    <t>KWP-4A</t>
  </si>
  <si>
    <t>EFP-3A</t>
  </si>
  <si>
    <t>EFP-4A</t>
  </si>
  <si>
    <t>PALL-800A</t>
  </si>
  <si>
    <t>TAHH-800A</t>
  </si>
  <si>
    <t>TAHH-801A</t>
  </si>
  <si>
    <t>TAHH-802A</t>
  </si>
  <si>
    <t>PALL-400A</t>
  </si>
  <si>
    <t>TAHH-1454A</t>
  </si>
  <si>
    <t>TAHH-1453A</t>
  </si>
  <si>
    <t>PAHH-300A</t>
  </si>
  <si>
    <t>TAHH-400A</t>
  </si>
  <si>
    <t>TAHH-402A</t>
  </si>
  <si>
    <t>PALL-100A</t>
  </si>
  <si>
    <t>TAH-1451A</t>
  </si>
  <si>
    <t>TAH-1452A</t>
  </si>
  <si>
    <t>PAH-300A</t>
  </si>
  <si>
    <t>TAH-401A</t>
  </si>
  <si>
    <t>TAH-403A</t>
  </si>
  <si>
    <t>TAL-404A</t>
  </si>
  <si>
    <t>FAL-400A</t>
  </si>
  <si>
    <t>LAL-400A</t>
  </si>
  <si>
    <t>PAL-800A</t>
  </si>
  <si>
    <t>DPAH-800A</t>
  </si>
  <si>
    <t>LAL-800A</t>
  </si>
  <si>
    <t>TAH-801A</t>
  </si>
  <si>
    <t>TAH-802A</t>
  </si>
  <si>
    <t>TAH-500A</t>
  </si>
  <si>
    <t>TAH-501A</t>
  </si>
  <si>
    <t>VAHH-500A</t>
  </si>
  <si>
    <t>TAH-600A</t>
  </si>
  <si>
    <t>TAH-800A</t>
  </si>
  <si>
    <t>TAH-404A</t>
  </si>
  <si>
    <t>H-1A</t>
  </si>
  <si>
    <t>H-2A</t>
  </si>
  <si>
    <t>H-3A</t>
  </si>
  <si>
    <t>H-4A</t>
  </si>
  <si>
    <t>H-5A</t>
  </si>
  <si>
    <t>H-6A</t>
  </si>
  <si>
    <t>H-7A</t>
  </si>
  <si>
    <t>H-8A</t>
  </si>
  <si>
    <t>H-9A</t>
  </si>
  <si>
    <t>H-10A</t>
  </si>
  <si>
    <t>K-1A</t>
  </si>
  <si>
    <t>K-2A</t>
  </si>
  <si>
    <t>K-3A</t>
  </si>
  <si>
    <t>K-4A</t>
  </si>
  <si>
    <t>K-5A</t>
  </si>
  <si>
    <t>K-6A</t>
  </si>
  <si>
    <t>Discharge Condensate Sol. Valve PV-100A Command</t>
  </si>
  <si>
    <t>Discharge Condensate Sol. Valve PV-200A Command</t>
  </si>
  <si>
    <t>Discharge Condensate Sol. Valve PV-201A Command</t>
  </si>
  <si>
    <t>HS-9A</t>
  </si>
  <si>
    <t>HS-10A</t>
  </si>
  <si>
    <t>KC-RFA</t>
  </si>
  <si>
    <t>K-7A</t>
  </si>
  <si>
    <t>K-8A</t>
  </si>
  <si>
    <t>K-9A</t>
  </si>
  <si>
    <t>HS-11A</t>
  </si>
  <si>
    <t>HS-12A</t>
  </si>
  <si>
    <t>HS-13A</t>
  </si>
  <si>
    <t>HS-14A</t>
  </si>
  <si>
    <t>K-18A</t>
  </si>
  <si>
    <t>K-19A</t>
  </si>
  <si>
    <t>K-20A</t>
  </si>
  <si>
    <t>K-21A</t>
  </si>
  <si>
    <t>PAL-400A</t>
  </si>
  <si>
    <t>HS-15A</t>
  </si>
  <si>
    <t>HS-16A</t>
  </si>
  <si>
    <t>HS-17A</t>
  </si>
  <si>
    <t>Suction Drum Very High Level</t>
  </si>
  <si>
    <t>HSV-100A</t>
  </si>
  <si>
    <t>HSV-102A</t>
  </si>
  <si>
    <t>HSV-101A</t>
  </si>
  <si>
    <t>HSV-103A</t>
  </si>
  <si>
    <t>H-14A</t>
  </si>
  <si>
    <t>Compressor Loading Cylinder 1 CE</t>
  </si>
  <si>
    <t>Compressor Loading Cylinder 2 HE</t>
  </si>
  <si>
    <t>Compressor Loading Cylinder 1 HE</t>
  </si>
  <si>
    <t>Compressor Loading Cylinder 2 CE</t>
  </si>
  <si>
    <t>Emergency Stop</t>
  </si>
  <si>
    <t>Cyinder 2 Cooling Water Temperature Outlet</t>
  </si>
  <si>
    <t>Cyinder 1 Cooling Water Temperature Outlet</t>
  </si>
  <si>
    <t>Cooling Water Temperature Inlet Manifold</t>
  </si>
  <si>
    <t>Gas Discharge Temperature Cylinder 1</t>
  </si>
  <si>
    <t>Gas Discharge Temperature Cylinder 2</t>
  </si>
  <si>
    <t>Piston Rod Packings Temperature Cylinder 1</t>
  </si>
  <si>
    <t>Piston Rod Packings Temperature Cylinder 2</t>
  </si>
  <si>
    <t>TRIP</t>
  </si>
  <si>
    <t>ALARM</t>
  </si>
  <si>
    <t>STOP</t>
  </si>
  <si>
    <t>NORMAL</t>
  </si>
  <si>
    <t>START</t>
  </si>
  <si>
    <t>OFF</t>
  </si>
  <si>
    <t>ON</t>
  </si>
  <si>
    <t>DISABLE</t>
  </si>
  <si>
    <t>EMERGENCY</t>
  </si>
  <si>
    <t>ENABLE</t>
  </si>
  <si>
    <t>Water Pump Selection PM3-PM4</t>
  </si>
  <si>
    <t>PM3</t>
  </si>
  <si>
    <t>PM4</t>
  </si>
  <si>
    <t>RESET</t>
  </si>
  <si>
    <t>ACK</t>
  </si>
  <si>
    <t>TEST</t>
  </si>
  <si>
    <t>OPEN</t>
  </si>
  <si>
    <t>FAILURE</t>
  </si>
  <si>
    <t>RUNNING</t>
  </si>
  <si>
    <t>LOAD</t>
  </si>
  <si>
    <t>UNLOAD</t>
  </si>
  <si>
    <t>LIGHT-ON</t>
  </si>
  <si>
    <t>CLOSE</t>
  </si>
  <si>
    <t>READY</t>
  </si>
  <si>
    <t>Manufacteur:</t>
  </si>
  <si>
    <t>Contractor / Company:</t>
  </si>
  <si>
    <t>Vendor</t>
  </si>
  <si>
    <t>Neuman &amp; Esser Group COMPRESSOR
APPLICATION CENTER</t>
  </si>
  <si>
    <t>Document No.</t>
  </si>
  <si>
    <t>P.O. No.</t>
  </si>
  <si>
    <t>Client Document No.</t>
  </si>
  <si>
    <t>Project</t>
  </si>
  <si>
    <t>First Issue</t>
  </si>
  <si>
    <t>NE20020IO01</t>
  </si>
  <si>
    <t>REVAMPING OF COMPRESSORS 29-K-1A/B</t>
  </si>
  <si>
    <r>
      <t xml:space="preserve">HARDWIRED PLC I/O LIST
</t>
    </r>
    <r>
      <rPr>
        <b/>
        <sz val="16"/>
        <rFont val="Arial"/>
        <family val="2"/>
      </rPr>
      <t>COMPRESSOR 29-K-1A/B</t>
    </r>
  </si>
  <si>
    <t xml:space="preserve">CORC
CAIRO OIL REFINING COMPANY </t>
  </si>
  <si>
    <t>- THIS DOCUMENT IS REFFERD TO THE COMPRESSOR 29-K-1A, FOR COMPRESSOR B THE SUFFIX "A" IS "B".</t>
  </si>
  <si>
    <t>LCP</t>
  </si>
  <si>
    <t>GSH-1A</t>
  </si>
  <si>
    <t>Junction Box Gas Detector Alarm</t>
  </si>
  <si>
    <t>Gas Detectior Switch</t>
  </si>
  <si>
    <t>DPSH-800A</t>
  </si>
  <si>
    <t>K-22A</t>
  </si>
  <si>
    <t>Stop Compressor Command</t>
  </si>
  <si>
    <t>Start Compressor Command</t>
  </si>
  <si>
    <t>DI3</t>
  </si>
  <si>
    <t>DI4</t>
  </si>
  <si>
    <t>DO4</t>
  </si>
  <si>
    <t>DO5</t>
  </si>
  <si>
    <t>DO6</t>
  </si>
  <si>
    <t>Revised for Comments</t>
  </si>
  <si>
    <t>Gas Discharge Pressure</t>
  </si>
  <si>
    <t>PSL-CUST</t>
  </si>
  <si>
    <t>PSH-CUST</t>
  </si>
  <si>
    <t>HS-14.1</t>
  </si>
  <si>
    <t>Very High Lube Oil Temperature</t>
  </si>
  <si>
    <t>Piston Rod Packings High Temperature</t>
  </si>
  <si>
    <t>K-10A</t>
  </si>
  <si>
    <t>K-11A</t>
  </si>
  <si>
    <t>K-12A</t>
  </si>
  <si>
    <t>K-13A</t>
  </si>
  <si>
    <t>K-14A</t>
  </si>
  <si>
    <t>K-15A</t>
  </si>
  <si>
    <t>K-16A</t>
  </si>
  <si>
    <t>K-17A</t>
  </si>
  <si>
    <t>Ready To Start</t>
  </si>
  <si>
    <t>White Lamp</t>
  </si>
  <si>
    <t>H15-A</t>
  </si>
  <si>
    <t>Bypass for PSLL-100 &amp; PSHH-300 &amp; PSH-300</t>
  </si>
  <si>
    <t>Differential Pressure Transmitter</t>
  </si>
  <si>
    <t>High Cooling Water Temp. 1st Stage Cyl. n.2</t>
  </si>
  <si>
    <t>High Cooling Water Temp. 1st Stage Cyl. n.1</t>
  </si>
  <si>
    <t>HS-18A</t>
  </si>
  <si>
    <t>HS-19A-1</t>
  </si>
  <si>
    <t>HS-19A-2</t>
  </si>
  <si>
    <t>HS-19A-3</t>
  </si>
  <si>
    <t>HS-19A-4</t>
  </si>
  <si>
    <t>Loading Position 25%</t>
  </si>
  <si>
    <t>Loading Position 50%</t>
  </si>
  <si>
    <t>Loading Position 75%</t>
  </si>
  <si>
    <t>Loading Position 100%</t>
  </si>
  <si>
    <t>4Pos. Selector Switch</t>
  </si>
  <si>
    <t>MANUAL</t>
  </si>
  <si>
    <t>AUTO</t>
  </si>
  <si>
    <t>Capacity Control AUTO / MANUAL</t>
  </si>
  <si>
    <t>Water &amp; Lube Oil Heaters Diable / Enable</t>
  </si>
  <si>
    <t>Manual Tank Make-Up</t>
  </si>
  <si>
    <t>NOT USED</t>
  </si>
  <si>
    <t>Compressor Bearing High Temperature 1</t>
  </si>
  <si>
    <t>Compressor Bearing High Temperature 2</t>
  </si>
  <si>
    <t>Very High Compressor Bearing Temperature 1</t>
  </si>
  <si>
    <t>Very High Compressor Bearing Temperature 2</t>
  </si>
  <si>
    <t>Compressor Bearing Temperature 1</t>
  </si>
  <si>
    <t>Compressor Bearing Temperature 2</t>
  </si>
  <si>
    <t>Nitrogen Bypass</t>
  </si>
  <si>
    <t>Reset Bypass</t>
  </si>
  <si>
    <t>Rev. 3</t>
  </si>
  <si>
    <t>EW56</t>
  </si>
  <si>
    <t>EW58</t>
  </si>
  <si>
    <t>EW60</t>
  </si>
  <si>
    <t>EW62</t>
  </si>
  <si>
    <t>EW16</t>
  </si>
  <si>
    <t>EW18</t>
  </si>
  <si>
    <t>EW20</t>
  </si>
  <si>
    <t>EW22</t>
  </si>
  <si>
    <t>EW64</t>
  </si>
  <si>
    <t>EW68</t>
  </si>
  <si>
    <t>EW66</t>
  </si>
  <si>
    <t>EW70</t>
  </si>
  <si>
    <t>EW73</t>
  </si>
  <si>
    <t>EW75</t>
  </si>
  <si>
    <t>EW77</t>
  </si>
  <si>
    <t>EW79</t>
  </si>
  <si>
    <t>EW82</t>
  </si>
  <si>
    <t>EW84</t>
  </si>
  <si>
    <t>EW86</t>
  </si>
  <si>
    <t>EW88</t>
  </si>
  <si>
    <t>EW91</t>
  </si>
  <si>
    <t>EW93</t>
  </si>
  <si>
    <t>EW95</t>
  </si>
  <si>
    <t>EW97</t>
  </si>
  <si>
    <t>E8.0</t>
  </si>
  <si>
    <t>E8.1</t>
  </si>
  <si>
    <t>E8.2</t>
  </si>
  <si>
    <t>E8.3</t>
  </si>
  <si>
    <t>E8.4</t>
  </si>
  <si>
    <t>E8.5</t>
  </si>
  <si>
    <t>E8.6</t>
  </si>
  <si>
    <t>E8.7</t>
  </si>
  <si>
    <t>E9.0</t>
  </si>
  <si>
    <t>E9.1</t>
  </si>
  <si>
    <t>E9.2</t>
  </si>
  <si>
    <t>E9.3</t>
  </si>
  <si>
    <t>E9.4</t>
  </si>
  <si>
    <t>E9.5</t>
  </si>
  <si>
    <t>E9.6</t>
  </si>
  <si>
    <t>E9.7</t>
  </si>
  <si>
    <t>E10.0</t>
  </si>
  <si>
    <t>E10.1</t>
  </si>
  <si>
    <t>E10.2</t>
  </si>
  <si>
    <t>E10.3</t>
  </si>
  <si>
    <t>E10.4</t>
  </si>
  <si>
    <t>E10.5</t>
  </si>
  <si>
    <t>E10.6</t>
  </si>
  <si>
    <t>E10.7</t>
  </si>
  <si>
    <t>E11.0</t>
  </si>
  <si>
    <t>E11.1</t>
  </si>
  <si>
    <t>E11.2</t>
  </si>
  <si>
    <t>E11.3</t>
  </si>
  <si>
    <t>E11.4</t>
  </si>
  <si>
    <t>E11.5</t>
  </si>
  <si>
    <t>E11.6</t>
  </si>
  <si>
    <t>E11.7</t>
  </si>
  <si>
    <t>E12.0</t>
  </si>
  <si>
    <t>E12.1</t>
  </si>
  <si>
    <t>E12.2</t>
  </si>
  <si>
    <t>E12.3</t>
  </si>
  <si>
    <t>E12.4</t>
  </si>
  <si>
    <t>E12.5</t>
  </si>
  <si>
    <t>E12.6</t>
  </si>
  <si>
    <t>E12.7</t>
  </si>
  <si>
    <t>E13.0</t>
  </si>
  <si>
    <t>E13.1</t>
  </si>
  <si>
    <t>E13.2</t>
  </si>
  <si>
    <t>E13.3</t>
  </si>
  <si>
    <t>E13.4</t>
  </si>
  <si>
    <t>E13.5</t>
  </si>
  <si>
    <t>E13.6</t>
  </si>
  <si>
    <t>E13.7</t>
  </si>
  <si>
    <t>E14.0</t>
  </si>
  <si>
    <t>E14.1</t>
  </si>
  <si>
    <t>E14.2</t>
  </si>
  <si>
    <t>E14.3</t>
  </si>
  <si>
    <t>E14.4</t>
  </si>
  <si>
    <t>E14.5</t>
  </si>
  <si>
    <t>E14.6</t>
  </si>
  <si>
    <t>E14.7</t>
  </si>
  <si>
    <t>E15.0</t>
  </si>
  <si>
    <t>E15.1</t>
  </si>
  <si>
    <t>E15.2</t>
  </si>
  <si>
    <t>E15.3</t>
  </si>
  <si>
    <t>E15.4</t>
  </si>
  <si>
    <t>E15.5</t>
  </si>
  <si>
    <t>E15.6</t>
  </si>
  <si>
    <t>E15.7</t>
  </si>
  <si>
    <t>A0.0</t>
  </si>
  <si>
    <t>A0.1</t>
  </si>
  <si>
    <t>A0.2</t>
  </si>
  <si>
    <t>A0.3</t>
  </si>
  <si>
    <t>A0.4</t>
  </si>
  <si>
    <t>A0.5</t>
  </si>
  <si>
    <t>A0.6</t>
  </si>
  <si>
    <t>A0.7</t>
  </si>
  <si>
    <t>A1.0</t>
  </si>
  <si>
    <t>A1.1</t>
  </si>
  <si>
    <t>A1.2</t>
  </si>
  <si>
    <t>A1.3</t>
  </si>
  <si>
    <t>A1.4</t>
  </si>
  <si>
    <t>A1.5</t>
  </si>
  <si>
    <t>A1.6</t>
  </si>
  <si>
    <t>A1.7</t>
  </si>
  <si>
    <t>A2.0</t>
  </si>
  <si>
    <t>A2.1</t>
  </si>
  <si>
    <t>A2.2</t>
  </si>
  <si>
    <t>A2.3</t>
  </si>
  <si>
    <t>A2.4</t>
  </si>
  <si>
    <t>A2.5</t>
  </si>
  <si>
    <t>A2.6</t>
  </si>
  <si>
    <t>A2.7</t>
  </si>
  <si>
    <t>A3.0</t>
  </si>
  <si>
    <t>A3.1</t>
  </si>
  <si>
    <t>A3.2</t>
  </si>
  <si>
    <t>A3.3</t>
  </si>
  <si>
    <t>A3.4</t>
  </si>
  <si>
    <t>A3.5</t>
  </si>
  <si>
    <t>A3.6</t>
  </si>
  <si>
    <t>A3.7</t>
  </si>
  <si>
    <t>A4.0</t>
  </si>
  <si>
    <t>A4.1</t>
  </si>
  <si>
    <t>A4.2</t>
  </si>
  <si>
    <t>A4.3</t>
  </si>
  <si>
    <t>A4.4</t>
  </si>
  <si>
    <t>A4.5</t>
  </si>
  <si>
    <t>A4.6</t>
  </si>
  <si>
    <t>A4.7</t>
  </si>
  <si>
    <t>A5.0</t>
  </si>
  <si>
    <t>A5.1</t>
  </si>
  <si>
    <t>A5.2</t>
  </si>
  <si>
    <t>A5.3</t>
  </si>
  <si>
    <t>A5.4</t>
  </si>
  <si>
    <t>A5.5</t>
  </si>
  <si>
    <t>A5.6</t>
  </si>
  <si>
    <t>A5.7</t>
  </si>
  <si>
    <t>A6.0</t>
  </si>
  <si>
    <t>A6.1</t>
  </si>
  <si>
    <t>A6.2</t>
  </si>
  <si>
    <t>A6.3</t>
  </si>
  <si>
    <t>A6.4</t>
  </si>
  <si>
    <t>A6.5</t>
  </si>
  <si>
    <t>A6.6</t>
  </si>
  <si>
    <t>A6.7</t>
  </si>
  <si>
    <t>A7.0</t>
  </si>
  <si>
    <t>A7.1</t>
  </si>
  <si>
    <t>A7.2</t>
  </si>
  <si>
    <t>A7.3</t>
  </si>
  <si>
    <t>A7.4</t>
  </si>
  <si>
    <t>A7.5</t>
  </si>
  <si>
    <t>A7.6</t>
  </si>
  <si>
    <t>A7.7</t>
  </si>
  <si>
    <t>A8.0</t>
  </si>
  <si>
    <t>A8.1</t>
  </si>
  <si>
    <t>A8.2</t>
  </si>
  <si>
    <t>A8.3</t>
  </si>
  <si>
    <t>A8.4</t>
  </si>
  <si>
    <t>A8.5</t>
  </si>
  <si>
    <t>A8.6</t>
  </si>
  <si>
    <t>A8.7</t>
  </si>
  <si>
    <t>A9.0</t>
  </si>
  <si>
    <t>A9.1</t>
  </si>
  <si>
    <t>A9.2</t>
  </si>
  <si>
    <t>A9.3</t>
  </si>
  <si>
    <t>A9.4</t>
  </si>
  <si>
    <t>A9.5</t>
  </si>
  <si>
    <t>A9.6</t>
  </si>
  <si>
    <t>A9.7</t>
  </si>
  <si>
    <t>A10.0</t>
  </si>
  <si>
    <t>A10.1</t>
  </si>
  <si>
    <t>A10.2</t>
  </si>
  <si>
    <t>A10.3</t>
  </si>
  <si>
    <t>A10.4</t>
  </si>
  <si>
    <t>A10.5</t>
  </si>
  <si>
    <t>A10.6</t>
  </si>
  <si>
    <t>A10.7</t>
  </si>
  <si>
    <t>A11.0</t>
  </si>
  <si>
    <t>A11.1</t>
  </si>
  <si>
    <t>A11.2</t>
  </si>
  <si>
    <t>A11.3</t>
  </si>
  <si>
    <t>A11.4</t>
  </si>
  <si>
    <t>A11.5</t>
  </si>
  <si>
    <t>A11.6</t>
  </si>
  <si>
    <t>A11.7</t>
  </si>
  <si>
    <t>Revised After FAT</t>
  </si>
  <si>
    <t>%</t>
  </si>
  <si>
    <t>AI2</t>
  </si>
  <si>
    <t>AI3</t>
  </si>
  <si>
    <t>AI4</t>
  </si>
  <si>
    <t>AI5</t>
  </si>
  <si>
    <t>AI6</t>
  </si>
  <si>
    <t>mms</t>
  </si>
  <si>
    <t>water</t>
  </si>
  <si>
    <t>oil</t>
  </si>
  <si>
    <t>gas</t>
  </si>
  <si>
    <t>BN</t>
  </si>
  <si>
    <t>lamp blue</t>
  </si>
  <si>
    <t>Circuit</t>
  </si>
  <si>
    <t>LL</t>
  </si>
  <si>
    <t>HH</t>
  </si>
  <si>
    <t>H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</si>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</sst>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1" formatCode="_-* #,##0_-;\-* #,##0_-;_-* &quot;-&quot;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[$€]* #,##0.00_);_([$€]* \(#,##0.00\);_([$€]* &quot;-&quot;??_);_(@_)"/>
    <numFmt numFmtId="169" formatCode="0000"/>
    <numFmt numFmtId="170" formatCode="&quot;$&quot;#,##0;[Red]\-&quot;$&quot;#,##0"/>
    <numFmt numFmtId="171" formatCode="&quot;$&quot;#,##0.00;[Red]\-&quot;$&quot;#,##0.00"/>
    <numFmt numFmtId="172" formatCode="mm/dd/yy"/>
    <numFmt numFmtId="173" formatCode="0.0%"/>
    <numFmt numFmtId="174" formatCode="0%_);[Red]\(0%\)"/>
    <numFmt numFmtId="175" formatCode="0.0%_);[Red]\(0.0%\)"/>
    <numFmt numFmtId="176" formatCode="###,###,_);[Red]\(###,###,\)"/>
    <numFmt numFmtId="177" formatCode="###,###.0,_);[Red]\(###,###.0,\)"/>
    <numFmt numFmtId="178" formatCode="d\-mmm\-yy\ \ \ h:mm"/>
    <numFmt numFmtId="179" formatCode="#,##0.0_);[Red]\(#,##0.0\)"/>
    <numFmt numFmtId="180" formatCode="#,##0.0_);\(#,##0.0\)"/>
    <numFmt numFmtId="181" formatCode="0.00%;[Red]\-0.00%"/>
    <numFmt numFmtId="182" formatCode="mmm\-yy_)"/>
    <numFmt numFmtId="183" formatCode="0.0%;[Red]\-0.0%"/>
    <numFmt numFmtId="184" formatCode="0.0%;\(0.0%\)"/>
    <numFmt numFmtId="185" formatCode="###0_)"/>
    <numFmt numFmtId="186" formatCode="#,##0.000_);\(#,##0.000\)"/>
    <numFmt numFmtId="187" formatCode="_-&quot;L.&quot;\ * #,##0_-;\-&quot;L.&quot;\ * #,##0_-;_-&quot;L.&quot;\ * &quot;-&quot;_-;_-@_-"/>
  </numFmts>
  <fonts count="4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i/>
      <sz val="7"/>
      <name val="Arial"/>
      <family val="2"/>
    </font>
    <font>
      <i/>
      <sz val="7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Helv"/>
    </font>
    <font>
      <sz val="8"/>
      <name val="Times New Roman"/>
      <family val="1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10"/>
      <name val="MS Serif"/>
      <family val="1"/>
    </font>
    <font>
      <sz val="10"/>
      <name val="MS Sans Serif"/>
      <family val="2"/>
    </font>
    <font>
      <sz val="8"/>
      <name val="CG Times (E1)"/>
    </font>
    <font>
      <sz val="10"/>
      <name val="Helv"/>
    </font>
    <font>
      <sz val="10"/>
      <color indexed="16"/>
      <name val="MS Serif"/>
      <family val="1"/>
    </font>
    <font>
      <b/>
      <sz val="8"/>
      <name val="MS Sans Serif"/>
      <family val="2"/>
    </font>
    <font>
      <shadow/>
      <sz val="8"/>
      <color indexed="12"/>
      <name val="Times New Roman"/>
      <family val="1"/>
    </font>
    <font>
      <sz val="10"/>
      <name val="Univers (WN)"/>
    </font>
    <font>
      <sz val="10"/>
      <name val="Univers (E1)"/>
    </font>
    <font>
      <sz val="8"/>
      <name val="Wingdings"/>
      <charset val="2"/>
    </font>
    <font>
      <sz val="8"/>
      <name val="Helv"/>
    </font>
    <font>
      <sz val="8"/>
      <name val="MS Sans Serif"/>
      <family val="2"/>
    </font>
    <font>
      <b/>
      <sz val="8"/>
      <color indexed="8"/>
      <name val="Helv"/>
    </font>
    <font>
      <b/>
      <sz val="12"/>
      <name val="Univers (WN)"/>
    </font>
    <font>
      <b/>
      <sz val="10"/>
      <name val="Univers (WN)"/>
    </font>
    <font>
      <b/>
      <sz val="14"/>
      <color indexed="12"/>
      <name val="SWISS"/>
      <family val="2"/>
    </font>
    <font>
      <sz val="10"/>
      <name val="Arial"/>
      <family val="2"/>
      <charset val="204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8"/>
      <name val="Arial"/>
      <family val="2"/>
    </font>
    <font>
      <b/>
      <u/>
      <sz val="10"/>
      <name val="Arial"/>
      <family val="2"/>
    </font>
    <font>
      <b/>
      <i/>
      <vertAlign val="superscript"/>
      <sz val="7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u/>
      <sz val="7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darkVertical"/>
    </fill>
    <fill>
      <patternFill patternType="gray06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</borders>
  <cellStyleXfs count="462">
    <xf numFmtId="0" fontId="0" fillId="0" borderId="0"/>
    <xf numFmtId="168" fontId="4" fillId="0" borderId="0" applyFont="0" applyFill="0" applyBorder="0" applyAlignment="0" applyProtection="0"/>
    <xf numFmtId="168" fontId="10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18" fillId="0" borderId="3" applyBorder="0"/>
    <xf numFmtId="0" fontId="37" fillId="2" borderId="32"/>
    <xf numFmtId="0" fontId="19" fillId="0" borderId="0">
      <alignment horizontal="center" wrapText="1"/>
      <protection locked="0"/>
    </xf>
    <xf numFmtId="3" fontId="20" fillId="0" borderId="0" applyNumberFormat="0" applyFill="0" applyBorder="0" applyAlignment="0" applyProtection="0"/>
    <xf numFmtId="3" fontId="21" fillId="0" borderId="0" applyNumberFormat="0" applyFill="0" applyBorder="0" applyAlignment="0" applyProtection="0"/>
    <xf numFmtId="179" fontId="13" fillId="0" borderId="0" applyNumberFormat="0" applyFill="0" applyBorder="0" applyAlignment="0"/>
    <xf numFmtId="169" fontId="4" fillId="0" borderId="0" applyFill="0" applyBorder="0" applyAlignment="0"/>
    <xf numFmtId="169" fontId="4" fillId="0" borderId="0" applyFill="0" applyBorder="0" applyAlignment="0"/>
    <xf numFmtId="0" fontId="22" fillId="0" borderId="0" applyNumberFormat="0" applyAlignment="0">
      <alignment horizontal="left"/>
    </xf>
    <xf numFmtId="170" fontId="23" fillId="0" borderId="0" applyFont="0" applyFill="0" applyBorder="0" applyAlignment="0" applyProtection="0"/>
    <xf numFmtId="171" fontId="23" fillId="0" borderId="0" applyFont="0" applyFill="0" applyBorder="0" applyAlignment="0" applyProtection="0"/>
    <xf numFmtId="15" fontId="23" fillId="0" borderId="0" applyFont="0" applyFill="0" applyBorder="0" applyAlignment="0" applyProtection="0">
      <alignment horizontal="left"/>
    </xf>
    <xf numFmtId="178" fontId="23" fillId="0" borderId="0" applyFont="0" applyFill="0" applyBorder="0" applyProtection="0">
      <alignment horizontal="left"/>
    </xf>
    <xf numFmtId="180" fontId="24" fillId="0" borderId="0" applyFont="0" applyFill="0" applyBorder="0" applyAlignment="0" applyProtection="0">
      <protection locked="0"/>
    </xf>
    <xf numFmtId="39" fontId="25" fillId="0" borderId="0" applyFont="0" applyFill="0" applyBorder="0" applyAlignment="0" applyProtection="0"/>
    <xf numFmtId="186" fontId="19" fillId="0" borderId="0" applyFont="0" applyFill="0" applyBorder="0" applyAlignment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26" fillId="0" borderId="0" applyNumberFormat="0" applyAlignment="0">
      <alignment horizontal="left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38" fontId="8" fillId="3" borderId="0" applyNumberFormat="0" applyBorder="0" applyAlignment="0" applyProtection="0"/>
    <xf numFmtId="0" fontId="17" fillId="0" borderId="31" applyNumberFormat="0" applyAlignment="0" applyProtection="0">
      <alignment horizontal="left" vertical="center"/>
    </xf>
    <xf numFmtId="0" fontId="17" fillId="0" borderId="31" applyNumberFormat="0" applyAlignment="0" applyProtection="0">
      <alignment horizontal="left" vertical="center"/>
    </xf>
    <xf numFmtId="0" fontId="17" fillId="0" borderId="33">
      <alignment horizontal="left" vertical="center"/>
    </xf>
    <xf numFmtId="0" fontId="17" fillId="0" borderId="33">
      <alignment horizontal="left" vertical="center"/>
    </xf>
    <xf numFmtId="0" fontId="27" fillId="0" borderId="12">
      <alignment horizontal="center"/>
    </xf>
    <xf numFmtId="0" fontId="27" fillId="0" borderId="0">
      <alignment horizontal="center"/>
    </xf>
    <xf numFmtId="37" fontId="28" fillId="0" borderId="0" applyFill="0" applyBorder="0" applyAlignment="0">
      <protection locked="0"/>
    </xf>
    <xf numFmtId="173" fontId="28" fillId="0" borderId="1" applyFill="0" applyBorder="0" applyAlignment="0">
      <alignment horizontal="center"/>
      <protection locked="0"/>
    </xf>
    <xf numFmtId="10" fontId="8" fillId="4" borderId="34" applyNumberFormat="0" applyBorder="0" applyAlignment="0" applyProtection="0"/>
    <xf numFmtId="180" fontId="28" fillId="0" borderId="0" applyFill="0" applyBorder="0" applyAlignment="0">
      <protection locked="0"/>
    </xf>
    <xf numFmtId="186" fontId="28" fillId="0" borderId="0" applyFill="0" applyBorder="0" applyAlignment="0" applyProtection="0">
      <protection locked="0"/>
    </xf>
    <xf numFmtId="41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82" fontId="2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79" fontId="1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14" fontId="19" fillId="0" borderId="0">
      <alignment horizontal="center" wrapText="1"/>
      <protection locked="0"/>
    </xf>
    <xf numFmtId="184" fontId="19" fillId="0" borderId="4" applyFont="0" applyFill="0" applyBorder="0" applyAlignment="0" applyProtection="0">
      <alignment horizontal="right"/>
    </xf>
    <xf numFmtId="174" fontId="23" fillId="0" borderId="0" applyFont="0" applyFill="0" applyBorder="0" applyAlignment="0" applyProtection="0"/>
    <xf numFmtId="175" fontId="23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83" fontId="30" fillId="0" borderId="0" applyFont="0" applyFill="0" applyBorder="0" applyAlignment="0" applyProtection="0"/>
    <xf numFmtId="181" fontId="30" fillId="0" borderId="0" applyFont="0" applyFill="0" applyBorder="0" applyAlignment="0" applyProtection="0"/>
    <xf numFmtId="3" fontId="15" fillId="0" borderId="0" applyFill="0" applyBorder="0" applyAlignment="0" applyProtection="0"/>
    <xf numFmtId="3" fontId="16" fillId="0" borderId="0" applyFill="0" applyBorder="0" applyAlignment="0" applyProtection="0"/>
    <xf numFmtId="3" fontId="15" fillId="0" borderId="0" applyFill="0" applyBorder="0" applyAlignment="0" applyProtection="0"/>
    <xf numFmtId="0" fontId="31" fillId="5" borderId="0" applyNumberFormat="0" applyFont="0" applyBorder="0" applyAlignment="0">
      <alignment horizontal="center"/>
    </xf>
    <xf numFmtId="172" fontId="32" fillId="0" borderId="0" applyNumberFormat="0" applyFill="0" applyBorder="0" applyAlignment="0" applyProtection="0">
      <alignment horizontal="left"/>
    </xf>
    <xf numFmtId="38" fontId="23" fillId="6" borderId="0" applyNumberFormat="0" applyFont="0" applyBorder="0" applyAlignment="0" applyProtection="0"/>
    <xf numFmtId="0" fontId="31" fillId="1" borderId="33" applyNumberFormat="0" applyFont="0" applyAlignment="0">
      <alignment horizontal="center"/>
    </xf>
    <xf numFmtId="0" fontId="33" fillId="0" borderId="0" applyNumberFormat="0" applyFill="0" applyBorder="0" applyAlignment="0">
      <alignment horizontal="center"/>
    </xf>
    <xf numFmtId="0" fontId="4" fillId="0" borderId="0"/>
    <xf numFmtId="40" fontId="34" fillId="0" borderId="0" applyBorder="0">
      <alignment horizontal="right"/>
    </xf>
    <xf numFmtId="38" fontId="35" fillId="0" borderId="0" applyFill="0" applyBorder="0" applyAlignment="0" applyProtection="0"/>
    <xf numFmtId="183" fontId="36" fillId="0" borderId="0" applyFill="0" applyBorder="0" applyAlignment="0" applyProtection="0"/>
    <xf numFmtId="176" fontId="23" fillId="0" borderId="0" applyFont="0" applyFill="0" applyBorder="0" applyAlignment="0" applyProtection="0"/>
    <xf numFmtId="177" fontId="23" fillId="0" borderId="0" applyFont="0" applyFill="0" applyBorder="0" applyAlignment="0" applyProtection="0"/>
    <xf numFmtId="18" fontId="24" fillId="0" borderId="0" applyFont="0" applyFill="0" applyBorder="0" applyAlignment="0" applyProtection="0">
      <alignment horizontal="left"/>
    </xf>
    <xf numFmtId="38" fontId="23" fillId="0" borderId="35" applyNumberFormat="0" applyFont="0" applyFill="0" applyAlignment="0" applyProtection="0"/>
    <xf numFmtId="10" fontId="30" fillId="0" borderId="36" applyNumberFormat="0" applyFont="0" applyFill="0" applyAlignment="0" applyProtection="0"/>
    <xf numFmtId="187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85" fontId="12" fillId="0" borderId="33" applyFont="0" applyFill="0" applyBorder="0" applyAlignment="0" applyProtection="0"/>
    <xf numFmtId="185" fontId="12" fillId="0" borderId="33" applyFont="0" applyFill="0" applyBorder="0" applyAlignment="0" applyProtection="0"/>
    <xf numFmtId="168" fontId="4" fillId="0" borderId="0" applyFont="0" applyFill="0" applyBorder="0" applyAlignment="0" applyProtection="0"/>
    <xf numFmtId="0" fontId="4" fillId="0" borderId="0"/>
    <xf numFmtId="169" fontId="4" fillId="0" borderId="0" applyFill="0" applyBorder="0" applyAlignment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10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8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37" fontId="28" fillId="0" borderId="0" applyFill="0" applyBorder="0" applyAlignment="0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37" fillId="2" borderId="32"/>
    <xf numFmtId="0" fontId="17" fillId="0" borderId="33">
      <alignment horizontal="left" vertical="center"/>
    </xf>
    <xf numFmtId="0" fontId="17" fillId="0" borderId="33">
      <alignment horizontal="left" vertical="center"/>
    </xf>
    <xf numFmtId="10" fontId="8" fillId="4" borderId="34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31" fillId="1" borderId="33" applyNumberFormat="0" applyFont="0" applyAlignment="0">
      <alignment horizontal="center"/>
    </xf>
    <xf numFmtId="38" fontId="23" fillId="0" borderId="35" applyNumberFormat="0" applyFont="0" applyFill="0" applyAlignment="0" applyProtection="0"/>
    <xf numFmtId="185" fontId="12" fillId="0" borderId="33" applyFont="0" applyFill="0" applyBorder="0" applyAlignment="0" applyProtection="0"/>
    <xf numFmtId="185" fontId="12" fillId="0" borderId="33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2" borderId="32"/>
    <xf numFmtId="0" fontId="17" fillId="0" borderId="33">
      <alignment horizontal="left" vertical="center"/>
    </xf>
    <xf numFmtId="0" fontId="17" fillId="0" borderId="33">
      <alignment horizontal="left" vertical="center"/>
    </xf>
    <xf numFmtId="10" fontId="8" fillId="4" borderId="34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31" fillId="1" borderId="33" applyNumberFormat="0" applyFont="0" applyAlignment="0">
      <alignment horizontal="center"/>
    </xf>
    <xf numFmtId="38" fontId="23" fillId="0" borderId="35" applyNumberFormat="0" applyFont="0" applyFill="0" applyAlignment="0" applyProtection="0"/>
    <xf numFmtId="185" fontId="12" fillId="0" borderId="33" applyFont="0" applyFill="0" applyBorder="0" applyAlignment="0" applyProtection="0"/>
    <xf numFmtId="185" fontId="12" fillId="0" borderId="33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20">
    <xf numFmtId="0" fontId="0" fillId="0" borderId="0" xfId="0"/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30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4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41" xfId="0" applyFont="1" applyFill="1" applyBorder="1" applyAlignment="1">
      <alignment horizontal="center" vertical="center"/>
    </xf>
    <xf numFmtId="0" fontId="5" fillId="0" borderId="42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0" fontId="5" fillId="0" borderId="50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46" xfId="0" applyFont="1" applyFill="1" applyBorder="1" applyAlignment="1">
      <alignment horizontal="center" vertical="center"/>
    </xf>
    <xf numFmtId="0" fontId="4" fillId="0" borderId="0" xfId="0" applyFont="1" applyFill="1"/>
    <xf numFmtId="0" fontId="0" fillId="0" borderId="0" xfId="0" applyFill="1" applyBorder="1"/>
    <xf numFmtId="0" fontId="5" fillId="0" borderId="0" xfId="0" applyFont="1" applyFill="1" applyAlignment="1">
      <alignment vertical="center"/>
    </xf>
    <xf numFmtId="0" fontId="42" fillId="0" borderId="0" xfId="0" applyFont="1" applyFill="1" applyBorder="1" applyAlignment="1">
      <alignment vertical="center"/>
    </xf>
    <xf numFmtId="0" fontId="5" fillId="0" borderId="0" xfId="0" applyFont="1" applyFill="1"/>
    <xf numFmtId="0" fontId="5" fillId="0" borderId="1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textRotation="90"/>
    </xf>
    <xf numFmtId="0" fontId="7" fillId="0" borderId="9" xfId="0" applyFont="1" applyFill="1" applyBorder="1" applyAlignment="1">
      <alignment horizontal="center" textRotation="90"/>
    </xf>
    <xf numFmtId="0" fontId="7" fillId="0" borderId="0" xfId="0" applyFont="1" applyFill="1"/>
    <xf numFmtId="0" fontId="5" fillId="0" borderId="52" xfId="0" applyFont="1" applyFill="1" applyBorder="1" applyAlignment="1">
      <alignment horizontal="left" vertical="center"/>
    </xf>
    <xf numFmtId="0" fontId="5" fillId="0" borderId="55" xfId="0" applyFont="1" applyFill="1" applyBorder="1" applyAlignment="1">
      <alignment horizontal="center" vertical="center"/>
    </xf>
    <xf numFmtId="0" fontId="5" fillId="0" borderId="54" xfId="0" quotePrefix="1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center" vertical="center"/>
    </xf>
    <xf numFmtId="0" fontId="5" fillId="0" borderId="57" xfId="0" applyFont="1" applyFill="1" applyBorder="1" applyAlignment="1">
      <alignment horizontal="center" vertical="center"/>
    </xf>
    <xf numFmtId="0" fontId="5" fillId="0" borderId="43" xfId="0" quotePrefix="1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left" vertical="center"/>
    </xf>
    <xf numFmtId="0" fontId="5" fillId="0" borderId="57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/>
    <xf numFmtId="0" fontId="5" fillId="0" borderId="13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vertical="center"/>
    </xf>
    <xf numFmtId="0" fontId="5" fillId="0" borderId="12" xfId="0" applyFont="1" applyFill="1" applyBorder="1"/>
    <xf numFmtId="0" fontId="5" fillId="0" borderId="14" xfId="0" applyFont="1" applyFill="1" applyBorder="1" applyAlignment="1">
      <alignment horizontal="center" vertical="center"/>
    </xf>
    <xf numFmtId="0" fontId="5" fillId="0" borderId="3" xfId="0" quotePrefix="1" applyFont="1" applyFill="1" applyBorder="1" applyAlignment="1">
      <alignment horizontal="center" vertical="center"/>
    </xf>
    <xf numFmtId="0" fontId="5" fillId="0" borderId="43" xfId="0" applyFont="1" applyFill="1" applyBorder="1" applyAlignment="1">
      <alignment horizontal="center" vertical="center"/>
    </xf>
    <xf numFmtId="0" fontId="5" fillId="0" borderId="39" xfId="0" applyFont="1" applyFill="1" applyBorder="1" applyAlignment="1">
      <alignment vertical="center"/>
    </xf>
    <xf numFmtId="0" fontId="5" fillId="0" borderId="39" xfId="0" applyFont="1" applyFill="1" applyBorder="1"/>
    <xf numFmtId="0" fontId="5" fillId="0" borderId="14" xfId="0" applyFont="1" applyFill="1" applyBorder="1" applyAlignment="1">
      <alignment horizontal="left" vertical="center"/>
    </xf>
    <xf numFmtId="0" fontId="5" fillId="0" borderId="24" xfId="0" applyFont="1" applyFill="1" applyBorder="1" applyAlignment="1">
      <alignment horizontal="left" vertical="center"/>
    </xf>
    <xf numFmtId="0" fontId="5" fillId="0" borderId="15" xfId="0" quotePrefix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5" fillId="0" borderId="0" xfId="0" applyFont="1" applyFill="1" applyBorder="1" applyAlignment="1">
      <alignment vertical="center"/>
    </xf>
    <xf numFmtId="0" fontId="5" fillId="0" borderId="47" xfId="0" quotePrefix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left" vertical="center"/>
    </xf>
    <xf numFmtId="0" fontId="5" fillId="0" borderId="7" xfId="0" applyFont="1" applyFill="1" applyBorder="1"/>
    <xf numFmtId="0" fontId="5" fillId="0" borderId="0" xfId="0" applyFont="1" applyFill="1" applyBorder="1"/>
    <xf numFmtId="0" fontId="5" fillId="0" borderId="61" xfId="0" applyFont="1" applyFill="1" applyBorder="1" applyAlignment="1">
      <alignment horizontal="center" vertical="center"/>
    </xf>
    <xf numFmtId="0" fontId="5" fillId="0" borderId="62" xfId="0" quotePrefix="1" applyFont="1" applyFill="1" applyBorder="1" applyAlignment="1">
      <alignment horizontal="center" vertical="center"/>
    </xf>
    <xf numFmtId="0" fontId="5" fillId="0" borderId="63" xfId="0" applyFont="1" applyFill="1" applyBorder="1" applyAlignment="1">
      <alignment horizontal="center" vertical="center"/>
    </xf>
    <xf numFmtId="0" fontId="5" fillId="0" borderId="64" xfId="0" applyFont="1" applyFill="1" applyBorder="1" applyAlignment="1">
      <alignment horizontal="center" vertical="center"/>
    </xf>
    <xf numFmtId="0" fontId="5" fillId="0" borderId="60" xfId="0" applyFont="1" applyFill="1" applyBorder="1" applyAlignment="1">
      <alignment horizontal="center" vertical="center"/>
    </xf>
    <xf numFmtId="0" fontId="5" fillId="0" borderId="65" xfId="0" applyFont="1" applyFill="1" applyBorder="1" applyAlignment="1">
      <alignment horizontal="center" vertical="center"/>
    </xf>
    <xf numFmtId="0" fontId="5" fillId="0" borderId="66" xfId="0" applyFont="1" applyFill="1" applyBorder="1" applyAlignment="1">
      <alignment horizontal="center" vertical="center"/>
    </xf>
    <xf numFmtId="0" fontId="5" fillId="0" borderId="62" xfId="0" applyFont="1" applyFill="1" applyBorder="1"/>
    <xf numFmtId="49" fontId="5" fillId="0" borderId="20" xfId="0" applyNumberFormat="1" applyFont="1" applyFill="1" applyBorder="1" applyAlignment="1">
      <alignment horizontal="center" vertical="center"/>
    </xf>
    <xf numFmtId="0" fontId="4" fillId="0" borderId="44" xfId="51" applyFill="1" applyBorder="1" applyAlignment="1">
      <alignment vertical="center"/>
    </xf>
    <xf numFmtId="0" fontId="4" fillId="0" borderId="7" xfId="51" applyFill="1" applyBorder="1" applyAlignment="1">
      <alignment vertical="center"/>
    </xf>
    <xf numFmtId="0" fontId="4" fillId="0" borderId="18" xfId="51" applyFill="1" applyBorder="1" applyAlignment="1">
      <alignment vertical="center"/>
    </xf>
    <xf numFmtId="0" fontId="4" fillId="0" borderId="17" xfId="51" applyFill="1" applyBorder="1" applyAlignment="1">
      <alignment vertical="center"/>
    </xf>
    <xf numFmtId="0" fontId="4" fillId="0" borderId="0" xfId="51" applyFill="1"/>
    <xf numFmtId="0" fontId="11" fillId="0" borderId="0" xfId="51" applyFont="1" applyFill="1"/>
    <xf numFmtId="0" fontId="4" fillId="0" borderId="9" xfId="51" applyFill="1" applyBorder="1"/>
    <xf numFmtId="0" fontId="4" fillId="0" borderId="14" xfId="51" applyFill="1" applyBorder="1"/>
    <xf numFmtId="0" fontId="4" fillId="0" borderId="3" xfId="51" applyFill="1" applyBorder="1"/>
    <xf numFmtId="0" fontId="11" fillId="0" borderId="3" xfId="51" applyFont="1" applyFill="1" applyBorder="1"/>
    <xf numFmtId="0" fontId="4" fillId="0" borderId="9" xfId="51" applyFill="1" applyBorder="1" applyAlignment="1">
      <alignment vertical="center"/>
    </xf>
    <xf numFmtId="0" fontId="41" fillId="0" borderId="0" xfId="51" applyFont="1" applyFill="1" applyAlignment="1">
      <alignment vertical="center"/>
    </xf>
    <xf numFmtId="0" fontId="4" fillId="0" borderId="39" xfId="51" applyFill="1" applyBorder="1" applyAlignment="1">
      <alignment vertical="center"/>
    </xf>
    <xf numFmtId="0" fontId="4" fillId="0" borderId="39" xfId="51" applyFill="1" applyBorder="1" applyAlignment="1">
      <alignment vertical="center" wrapText="1"/>
    </xf>
    <xf numFmtId="0" fontId="4" fillId="0" borderId="45" xfId="51" applyFill="1" applyBorder="1" applyAlignment="1">
      <alignment vertical="center" wrapText="1"/>
    </xf>
    <xf numFmtId="0" fontId="47" fillId="0" borderId="0" xfId="51" applyFont="1" applyFill="1" applyAlignment="1">
      <alignment horizontal="center" vertical="center" wrapText="1"/>
    </xf>
    <xf numFmtId="0" fontId="47" fillId="0" borderId="10" xfId="51" applyFont="1" applyFill="1" applyBorder="1" applyAlignment="1">
      <alignment horizontal="center" vertical="center" wrapText="1"/>
    </xf>
    <xf numFmtId="0" fontId="12" fillId="0" borderId="9" xfId="51" applyFont="1" applyFill="1" applyBorder="1" applyAlignment="1">
      <alignment horizontal="left" vertical="center"/>
    </xf>
    <xf numFmtId="0" fontId="4" fillId="0" borderId="9" xfId="51" applyFill="1" applyBorder="1" applyAlignment="1">
      <alignment horizontal="left" vertical="center"/>
    </xf>
    <xf numFmtId="0" fontId="12" fillId="0" borderId="0" xfId="51" applyFont="1" applyFill="1" applyAlignment="1">
      <alignment horizontal="left" vertical="center"/>
    </xf>
    <xf numFmtId="0" fontId="47" fillId="0" borderId="0" xfId="51" applyFont="1" applyFill="1" applyAlignment="1">
      <alignment vertical="center" wrapText="1"/>
    </xf>
    <xf numFmtId="0" fontId="47" fillId="0" borderId="10" xfId="51" applyFont="1" applyFill="1" applyBorder="1" applyAlignment="1">
      <alignment vertical="center" wrapText="1"/>
    </xf>
    <xf numFmtId="0" fontId="4" fillId="0" borderId="0" xfId="51" applyFill="1" applyAlignment="1">
      <alignment horizontal="left" vertical="center"/>
    </xf>
    <xf numFmtId="0" fontId="4" fillId="0" borderId="10" xfId="51" applyFill="1" applyBorder="1"/>
    <xf numFmtId="0" fontId="47" fillId="0" borderId="14" xfId="51" applyFont="1" applyFill="1" applyBorder="1" applyAlignment="1">
      <alignment vertical="center" wrapText="1"/>
    </xf>
    <xf numFmtId="0" fontId="47" fillId="0" borderId="3" xfId="51" applyFont="1" applyFill="1" applyBorder="1" applyAlignment="1">
      <alignment vertical="center" wrapText="1"/>
    </xf>
    <xf numFmtId="0" fontId="47" fillId="0" borderId="15" xfId="51" applyFont="1" applyFill="1" applyBorder="1" applyAlignment="1">
      <alignment vertical="center" wrapText="1"/>
    </xf>
    <xf numFmtId="0" fontId="4" fillId="0" borderId="49" xfId="5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67" xfId="0" applyFont="1" applyFill="1" applyBorder="1" applyAlignment="1">
      <alignment horizontal="left" vertical="center"/>
    </xf>
    <xf numFmtId="0" fontId="5" fillId="0" borderId="69" xfId="0" applyFont="1" applyFill="1" applyBorder="1" applyAlignment="1">
      <alignment horizontal="center" vertical="center"/>
    </xf>
    <xf numFmtId="0" fontId="5" fillId="0" borderId="69" xfId="0" applyFont="1" applyFill="1" applyBorder="1" applyAlignment="1">
      <alignment horizontal="left" vertical="center"/>
    </xf>
    <xf numFmtId="0" fontId="5" fillId="0" borderId="70" xfId="0" applyFont="1" applyFill="1" applyBorder="1" applyAlignment="1">
      <alignment horizontal="center" vertical="center"/>
    </xf>
    <xf numFmtId="0" fontId="5" fillId="0" borderId="12" xfId="0" quotePrefix="1" applyFont="1" applyFill="1" applyBorder="1" applyAlignment="1">
      <alignment horizontal="center"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8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9" xfId="0" applyFill="1" applyBorder="1"/>
    <xf numFmtId="0" fontId="0" fillId="0" borderId="0" xfId="0" applyFill="1"/>
    <xf numFmtId="0" fontId="0" fillId="0" borderId="10" xfId="0" applyFill="1" applyBorder="1"/>
    <xf numFmtId="0" fontId="9" fillId="0" borderId="0" xfId="0" applyFont="1" applyFill="1" applyAlignment="1">
      <alignment vertical="center"/>
    </xf>
    <xf numFmtId="0" fontId="0" fillId="0" borderId="9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10" xfId="0" applyFill="1" applyBorder="1" applyAlignment="1">
      <alignment horizontal="center"/>
    </xf>
    <xf numFmtId="0" fontId="12" fillId="0" borderId="0" xfId="0" applyFont="1" applyFill="1"/>
    <xf numFmtId="0" fontId="8" fillId="0" borderId="0" xfId="0" applyFont="1" applyFill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5" fillId="0" borderId="30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9" xfId="0" applyFont="1" applyFill="1" applyBorder="1" applyAlignment="1">
      <alignment horizontal="left" vertical="center"/>
    </xf>
    <xf numFmtId="0" fontId="5" fillId="0" borderId="67" xfId="0" applyFont="1" applyFill="1" applyBorder="1" applyAlignment="1">
      <alignment horizontal="center" vertical="center"/>
    </xf>
    <xf numFmtId="0" fontId="5" fillId="0" borderId="40" xfId="0" applyFont="1" applyFill="1" applyBorder="1" applyAlignment="1">
      <alignment horizontal="left" vertical="center"/>
    </xf>
    <xf numFmtId="0" fontId="5" fillId="0" borderId="68" xfId="0" applyFont="1" applyFill="1" applyBorder="1" applyAlignment="1">
      <alignment horizontal="left" vertical="center"/>
    </xf>
    <xf numFmtId="0" fontId="5" fillId="0" borderId="16" xfId="0" applyFont="1" applyFill="1" applyBorder="1" applyAlignment="1">
      <alignment horizontal="left" vertical="center"/>
    </xf>
    <xf numFmtId="0" fontId="5" fillId="0" borderId="52" xfId="0" applyFont="1" applyFill="1" applyBorder="1" applyAlignment="1">
      <alignment horizontal="center" vertical="center"/>
    </xf>
    <xf numFmtId="0" fontId="5" fillId="0" borderId="54" xfId="0" applyFont="1" applyFill="1" applyBorder="1" applyAlignment="1">
      <alignment horizontal="left" vertical="center"/>
    </xf>
    <xf numFmtId="0" fontId="5" fillId="0" borderId="60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16" xfId="0" applyFont="1" applyFill="1" applyBorder="1" applyAlignment="1">
      <alignment vertical="center"/>
    </xf>
    <xf numFmtId="0" fontId="5" fillId="0" borderId="55" xfId="0" applyFont="1" applyFill="1" applyBorder="1" applyAlignment="1">
      <alignment horizontal="left" vertical="center"/>
    </xf>
    <xf numFmtId="0" fontId="5" fillId="0" borderId="49" xfId="0" applyFont="1" applyFill="1" applyBorder="1" applyAlignment="1">
      <alignment vertical="center"/>
    </xf>
    <xf numFmtId="0" fontId="5" fillId="0" borderId="30" xfId="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5" fillId="0" borderId="57" xfId="0" applyFont="1" applyFill="1" applyBorder="1" applyAlignment="1">
      <alignment vertical="center"/>
    </xf>
    <xf numFmtId="0" fontId="5" fillId="0" borderId="61" xfId="0" applyFont="1" applyFill="1" applyBorder="1" applyAlignment="1">
      <alignment horizontal="left" vertical="center"/>
    </xf>
    <xf numFmtId="0" fontId="5" fillId="0" borderId="28" xfId="0" applyFont="1" applyFill="1" applyBorder="1" applyAlignment="1">
      <alignment horizontal="right" vertical="center"/>
    </xf>
    <xf numFmtId="0" fontId="5" fillId="0" borderId="67" xfId="0" applyFont="1" applyFill="1" applyBorder="1" applyAlignment="1">
      <alignment horizontal="right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43" xfId="0" applyFont="1" applyFill="1" applyBorder="1" applyAlignment="1">
      <alignment horizontal="left" vertical="center"/>
    </xf>
    <xf numFmtId="0" fontId="5" fillId="0" borderId="60" xfId="0" applyFont="1" applyFill="1" applyBorder="1" applyAlignment="1">
      <alignment vertical="center"/>
    </xf>
    <xf numFmtId="0" fontId="5" fillId="0" borderId="43" xfId="0" applyFont="1" applyFill="1" applyBorder="1" applyAlignment="1">
      <alignment vertical="center"/>
    </xf>
    <xf numFmtId="0" fontId="5" fillId="0" borderId="62" xfId="0" applyFont="1" applyFill="1" applyBorder="1" applyAlignment="1">
      <alignment horizontal="left" vertical="center"/>
    </xf>
    <xf numFmtId="0" fontId="5" fillId="0" borderId="28" xfId="0" applyFont="1" applyFill="1" applyBorder="1" applyAlignment="1">
      <alignment vertical="center"/>
    </xf>
    <xf numFmtId="0" fontId="5" fillId="0" borderId="67" xfId="0" applyFont="1" applyFill="1" applyBorder="1" applyAlignment="1">
      <alignment vertical="center"/>
    </xf>
    <xf numFmtId="0" fontId="5" fillId="0" borderId="69" xfId="0" applyFont="1" applyFill="1" applyBorder="1" applyAlignment="1">
      <alignment vertical="center"/>
    </xf>
    <xf numFmtId="0" fontId="5" fillId="0" borderId="0" xfId="0" applyFont="1" applyFill="1" applyAlignment="1">
      <alignment horizontal="right" vertical="center"/>
    </xf>
    <xf numFmtId="0" fontId="12" fillId="0" borderId="0" xfId="0" applyFont="1" applyFill="1" applyAlignment="1">
      <alignment horizontal="center"/>
    </xf>
    <xf numFmtId="0" fontId="45" fillId="0" borderId="52" xfId="0" applyFont="1" applyFill="1" applyBorder="1" applyAlignment="1">
      <alignment vertical="center"/>
    </xf>
    <xf numFmtId="0" fontId="45" fillId="0" borderId="67" xfId="0" applyFont="1" applyFill="1" applyBorder="1" applyAlignment="1">
      <alignment vertical="center"/>
    </xf>
    <xf numFmtId="0" fontId="45" fillId="0" borderId="69" xfId="0" applyFont="1" applyFill="1" applyBorder="1" applyAlignment="1">
      <alignment vertical="center"/>
    </xf>
    <xf numFmtId="9" fontId="5" fillId="0" borderId="43" xfId="0" applyNumberFormat="1" applyFont="1" applyFill="1" applyBorder="1" applyAlignment="1">
      <alignment horizontal="center" vertical="center"/>
    </xf>
    <xf numFmtId="9" fontId="5" fillId="0" borderId="67" xfId="0" applyNumberFormat="1" applyFont="1" applyFill="1" applyBorder="1" applyAlignment="1">
      <alignment horizontal="center" vertical="center"/>
    </xf>
    <xf numFmtId="9" fontId="5" fillId="0" borderId="47" xfId="0" applyNumberFormat="1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7" borderId="47" xfId="0" applyFont="1" applyFill="1" applyBorder="1" applyAlignment="1">
      <alignment horizontal="center" vertical="center"/>
    </xf>
    <xf numFmtId="0" fontId="5" fillId="7" borderId="46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28" xfId="0" applyFont="1" applyFill="1" applyBorder="1" applyAlignment="1">
      <alignment horizontal="center" vertical="center"/>
    </xf>
    <xf numFmtId="0" fontId="5" fillId="7" borderId="67" xfId="0" applyFont="1" applyFill="1" applyBorder="1" applyAlignment="1">
      <alignment horizontal="center" vertical="center"/>
    </xf>
    <xf numFmtId="0" fontId="5" fillId="7" borderId="66" xfId="0" applyFont="1" applyFill="1" applyBorder="1" applyAlignment="1">
      <alignment horizontal="center" vertical="center"/>
    </xf>
    <xf numFmtId="0" fontId="5" fillId="7" borderId="29" xfId="0" applyFont="1" applyFill="1" applyBorder="1" applyAlignment="1">
      <alignment horizontal="center" vertical="center"/>
    </xf>
    <xf numFmtId="0" fontId="5" fillId="7" borderId="69" xfId="0" applyFont="1" applyFill="1" applyBorder="1" applyAlignment="1">
      <alignment horizontal="center" vertical="center"/>
    </xf>
    <xf numFmtId="0" fontId="5" fillId="7" borderId="15" xfId="0" quotePrefix="1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56" xfId="0" applyFont="1" applyFill="1" applyBorder="1" applyAlignment="1">
      <alignment horizontal="center" vertical="center"/>
    </xf>
    <xf numFmtId="0" fontId="5" fillId="8" borderId="20" xfId="0" applyFont="1" applyFill="1" applyBorder="1" applyAlignment="1">
      <alignment horizontal="center" vertical="center"/>
    </xf>
    <xf numFmtId="0" fontId="5" fillId="8" borderId="48" xfId="0" applyFont="1" applyFill="1" applyBorder="1" applyAlignment="1">
      <alignment horizontal="center" vertical="center"/>
    </xf>
    <xf numFmtId="0" fontId="5" fillId="8" borderId="21" xfId="0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 vertical="center"/>
    </xf>
    <xf numFmtId="0" fontId="5" fillId="8" borderId="64" xfId="0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49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5" fillId="9" borderId="50" xfId="0" applyFont="1" applyFill="1" applyBorder="1" applyAlignment="1">
      <alignment horizontal="center" vertical="center"/>
    </xf>
    <xf numFmtId="0" fontId="5" fillId="9" borderId="57" xfId="0" applyFont="1" applyFill="1" applyBorder="1" applyAlignment="1">
      <alignment horizontal="center" vertical="center"/>
    </xf>
    <xf numFmtId="0" fontId="5" fillId="9" borderId="57" xfId="0" applyFont="1" applyFill="1" applyBorder="1" applyAlignment="1">
      <alignment horizontal="left" vertical="center"/>
    </xf>
    <xf numFmtId="0" fontId="5" fillId="9" borderId="61" xfId="0" applyFont="1" applyFill="1" applyBorder="1" applyAlignment="1">
      <alignment horizontal="left" vertical="center"/>
    </xf>
    <xf numFmtId="0" fontId="5" fillId="9" borderId="14" xfId="0" applyFont="1" applyFill="1" applyBorder="1" applyAlignment="1">
      <alignment horizontal="left" vertical="center"/>
    </xf>
    <xf numFmtId="0" fontId="5" fillId="9" borderId="60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/>
    </xf>
    <xf numFmtId="0" fontId="5" fillId="9" borderId="58" xfId="0" applyFont="1" applyFill="1" applyBorder="1" applyAlignment="1">
      <alignment horizontal="center" vertical="center"/>
    </xf>
    <xf numFmtId="0" fontId="5" fillId="9" borderId="56" xfId="0" applyFont="1" applyFill="1" applyBorder="1" applyAlignment="1">
      <alignment horizontal="center" vertical="center"/>
    </xf>
    <xf numFmtId="0" fontId="5" fillId="9" borderId="53" xfId="0" applyFont="1" applyFill="1" applyBorder="1" applyAlignment="1">
      <alignment horizontal="center" vertical="center"/>
    </xf>
    <xf numFmtId="0" fontId="5" fillId="9" borderId="59" xfId="0" applyFont="1" applyFill="1" applyBorder="1" applyAlignment="1">
      <alignment horizontal="center" vertical="center"/>
    </xf>
    <xf numFmtId="0" fontId="5" fillId="9" borderId="65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/>
    </xf>
    <xf numFmtId="0" fontId="6" fillId="0" borderId="55" xfId="0" applyFont="1" applyFill="1" applyBorder="1" applyAlignment="1">
      <alignment horizontal="center" vertical="center" textRotation="90"/>
    </xf>
    <xf numFmtId="0" fontId="6" fillId="0" borderId="57" xfId="0" applyFont="1" applyFill="1" applyBorder="1" applyAlignment="1">
      <alignment horizontal="center" vertical="center" textRotation="90"/>
    </xf>
    <xf numFmtId="0" fontId="5" fillId="0" borderId="57" xfId="0" applyFont="1" applyFill="1" applyBorder="1" applyAlignment="1">
      <alignment horizontal="center"/>
    </xf>
    <xf numFmtId="0" fontId="6" fillId="0" borderId="48" xfId="0" applyFont="1" applyFill="1" applyBorder="1" applyAlignment="1">
      <alignment horizontal="center" vertical="center" textRotation="90"/>
    </xf>
    <xf numFmtId="0" fontId="5" fillId="0" borderId="48" xfId="0" applyFont="1" applyFill="1" applyBorder="1" applyAlignment="1">
      <alignment horizontal="center"/>
    </xf>
    <xf numFmtId="0" fontId="12" fillId="0" borderId="38" xfId="51" applyFont="1" applyFill="1" applyBorder="1" applyAlignment="1">
      <alignment horizontal="center" vertical="center"/>
    </xf>
    <xf numFmtId="0" fontId="12" fillId="0" borderId="45" xfId="51" applyFont="1" applyFill="1" applyBorder="1" applyAlignment="1">
      <alignment horizontal="center" vertical="center"/>
    </xf>
    <xf numFmtId="0" fontId="12" fillId="0" borderId="26" xfId="51" applyFont="1" applyFill="1" applyBorder="1" applyAlignment="1">
      <alignment horizontal="center" vertical="center"/>
    </xf>
    <xf numFmtId="0" fontId="12" fillId="0" borderId="13" xfId="51" applyFont="1" applyFill="1" applyBorder="1" applyAlignment="1">
      <alignment horizontal="center" vertical="center"/>
    </xf>
    <xf numFmtId="0" fontId="4" fillId="0" borderId="42" xfId="51" applyFill="1" applyBorder="1" applyAlignment="1">
      <alignment horizontal="left" vertical="center"/>
    </xf>
    <xf numFmtId="0" fontId="4" fillId="0" borderId="43" xfId="51" applyFill="1" applyBorder="1" applyAlignment="1">
      <alignment horizontal="left" vertical="center"/>
    </xf>
    <xf numFmtId="0" fontId="4" fillId="0" borderId="41" xfId="51" applyFill="1" applyBorder="1" applyAlignment="1">
      <alignment horizontal="left" vertical="center"/>
    </xf>
    <xf numFmtId="14" fontId="4" fillId="0" borderId="42" xfId="51" applyNumberFormat="1" applyFill="1" applyBorder="1" applyAlignment="1">
      <alignment horizontal="center" vertical="center"/>
    </xf>
    <xf numFmtId="14" fontId="4" fillId="0" borderId="41" xfId="51" applyNumberFormat="1" applyFill="1" applyBorder="1" applyAlignment="1">
      <alignment horizontal="center" vertical="center"/>
    </xf>
    <xf numFmtId="14" fontId="4" fillId="0" borderId="47" xfId="51" applyNumberFormat="1" applyFill="1" applyBorder="1" applyAlignment="1">
      <alignment horizontal="center" vertical="center"/>
    </xf>
    <xf numFmtId="0" fontId="12" fillId="0" borderId="40" xfId="51" applyFont="1" applyFill="1" applyBorder="1" applyAlignment="1">
      <alignment horizontal="center" vertical="center"/>
    </xf>
    <xf numFmtId="0" fontId="12" fillId="0" borderId="50" xfId="51" applyFont="1" applyFill="1" applyBorder="1" applyAlignment="1">
      <alignment horizontal="center" vertical="center"/>
    </xf>
    <xf numFmtId="0" fontId="12" fillId="0" borderId="38" xfId="51" applyFont="1" applyFill="1" applyBorder="1" applyAlignment="1">
      <alignment horizontal="left" vertical="center"/>
    </xf>
    <xf numFmtId="0" fontId="12" fillId="0" borderId="39" xfId="51" applyFont="1" applyFill="1" applyBorder="1" applyAlignment="1">
      <alignment horizontal="left" vertical="center"/>
    </xf>
    <xf numFmtId="0" fontId="12" fillId="0" borderId="37" xfId="51" applyFont="1" applyFill="1" applyBorder="1" applyAlignment="1">
      <alignment horizontal="left" vertical="center"/>
    </xf>
    <xf numFmtId="0" fontId="12" fillId="0" borderId="26" xfId="51" applyFont="1" applyFill="1" applyBorder="1" applyAlignment="1">
      <alignment horizontal="left" vertical="center"/>
    </xf>
    <xf numFmtId="0" fontId="12" fillId="0" borderId="12" xfId="51" applyFont="1" applyFill="1" applyBorder="1" applyAlignment="1">
      <alignment horizontal="left" vertical="center"/>
    </xf>
    <xf numFmtId="0" fontId="12" fillId="0" borderId="22" xfId="51" applyFont="1" applyFill="1" applyBorder="1" applyAlignment="1">
      <alignment horizontal="left" vertical="center"/>
    </xf>
    <xf numFmtId="0" fontId="12" fillId="0" borderId="37" xfId="51" applyFont="1" applyFill="1" applyBorder="1" applyAlignment="1">
      <alignment horizontal="center" vertical="center"/>
    </xf>
    <xf numFmtId="0" fontId="12" fillId="0" borderId="22" xfId="51" applyFont="1" applyFill="1" applyBorder="1" applyAlignment="1">
      <alignment horizontal="center" vertical="center"/>
    </xf>
    <xf numFmtId="0" fontId="47" fillId="0" borderId="27" xfId="51" applyFont="1" applyFill="1" applyBorder="1" applyAlignment="1">
      <alignment horizontal="center" vertical="center" wrapText="1"/>
    </xf>
    <xf numFmtId="0" fontId="47" fillId="0" borderId="39" xfId="51" applyFont="1" applyFill="1" applyBorder="1" applyAlignment="1">
      <alignment horizontal="center" vertical="center" wrapText="1"/>
    </xf>
    <xf numFmtId="0" fontId="47" fillId="0" borderId="45" xfId="51" applyFont="1" applyFill="1" applyBorder="1" applyAlignment="1">
      <alignment horizontal="center" vertical="center" wrapText="1"/>
    </xf>
    <xf numFmtId="0" fontId="47" fillId="0" borderId="9" xfId="51" applyFont="1" applyFill="1" applyBorder="1" applyAlignment="1">
      <alignment horizontal="center" vertical="center" wrapText="1"/>
    </xf>
    <xf numFmtId="0" fontId="47" fillId="0" borderId="0" xfId="51" applyFont="1" applyFill="1" applyAlignment="1">
      <alignment horizontal="center" vertical="center" wrapText="1"/>
    </xf>
    <xf numFmtId="0" fontId="47" fillId="0" borderId="10" xfId="51" applyFont="1" applyFill="1" applyBorder="1" applyAlignment="1">
      <alignment horizontal="center" vertical="center" wrapText="1"/>
    </xf>
    <xf numFmtId="0" fontId="4" fillId="0" borderId="27" xfId="51" applyFill="1" applyBorder="1" applyAlignment="1">
      <alignment horizontal="center" vertical="top"/>
    </xf>
    <xf numFmtId="0" fontId="4" fillId="0" borderId="39" xfId="51" applyFill="1" applyBorder="1" applyAlignment="1">
      <alignment horizontal="center" vertical="top"/>
    </xf>
    <xf numFmtId="0" fontId="4" fillId="0" borderId="37" xfId="51" applyFill="1" applyBorder="1" applyAlignment="1">
      <alignment horizontal="center" vertical="top"/>
    </xf>
    <xf numFmtId="0" fontId="4" fillId="0" borderId="38" xfId="51" applyFill="1" applyBorder="1" applyAlignment="1">
      <alignment horizontal="center" vertical="center"/>
    </xf>
    <xf numFmtId="0" fontId="4" fillId="0" borderId="39" xfId="51" applyFill="1" applyBorder="1" applyAlignment="1">
      <alignment horizontal="center" vertical="center"/>
    </xf>
    <xf numFmtId="0" fontId="4" fillId="0" borderId="37" xfId="51" applyFill="1" applyBorder="1" applyAlignment="1">
      <alignment horizontal="center" vertical="center"/>
    </xf>
    <xf numFmtId="0" fontId="4" fillId="0" borderId="1" xfId="51" applyFill="1" applyBorder="1" applyAlignment="1">
      <alignment horizontal="center" vertical="center"/>
    </xf>
    <xf numFmtId="0" fontId="4" fillId="0" borderId="2" xfId="51" applyFill="1" applyBorder="1" applyAlignment="1">
      <alignment horizontal="center" vertical="center"/>
    </xf>
    <xf numFmtId="0" fontId="4" fillId="0" borderId="5" xfId="51" applyFill="1" applyBorder="1" applyAlignment="1">
      <alignment horizontal="center" vertical="center"/>
    </xf>
    <xf numFmtId="0" fontId="4" fillId="0" borderId="4" xfId="51" applyFill="1" applyBorder="1" applyAlignment="1">
      <alignment horizontal="center" vertical="center"/>
    </xf>
    <xf numFmtId="0" fontId="4" fillId="0" borderId="45" xfId="51" applyFill="1" applyBorder="1" applyAlignment="1">
      <alignment horizontal="center" vertical="center"/>
    </xf>
    <xf numFmtId="0" fontId="4" fillId="0" borderId="10" xfId="51" applyFill="1" applyBorder="1" applyAlignment="1">
      <alignment horizontal="center" vertical="center"/>
    </xf>
    <xf numFmtId="0" fontId="4" fillId="0" borderId="15" xfId="51" applyFill="1" applyBorder="1" applyAlignment="1">
      <alignment horizontal="center" vertical="center"/>
    </xf>
    <xf numFmtId="0" fontId="13" fillId="0" borderId="9" xfId="51" applyFont="1" applyFill="1" applyBorder="1" applyAlignment="1">
      <alignment horizontal="center" vertical="center" wrapText="1"/>
    </xf>
    <xf numFmtId="0" fontId="13" fillId="0" borderId="0" xfId="51" applyFont="1" applyFill="1" applyAlignment="1">
      <alignment horizontal="center" vertical="center" wrapText="1"/>
    </xf>
    <xf numFmtId="0" fontId="13" fillId="0" borderId="2" xfId="51" applyFont="1" applyFill="1" applyBorder="1" applyAlignment="1">
      <alignment horizontal="center" vertical="center" wrapText="1"/>
    </xf>
    <xf numFmtId="0" fontId="13" fillId="0" borderId="14" xfId="51" applyFont="1" applyFill="1" applyBorder="1" applyAlignment="1">
      <alignment horizontal="center" vertical="center" wrapText="1"/>
    </xf>
    <xf numFmtId="0" fontId="13" fillId="0" borderId="3" xfId="51" applyFont="1" applyFill="1" applyBorder="1" applyAlignment="1">
      <alignment horizontal="center" vertical="center" wrapText="1"/>
    </xf>
    <xf numFmtId="0" fontId="13" fillId="0" borderId="4" xfId="51" applyFont="1" applyFill="1" applyBorder="1" applyAlignment="1">
      <alignment horizontal="center" vertical="center" wrapText="1"/>
    </xf>
    <xf numFmtId="0" fontId="17" fillId="0" borderId="1" xfId="51" applyFont="1" applyFill="1" applyBorder="1" applyAlignment="1">
      <alignment horizontal="center" vertical="center" wrapText="1"/>
    </xf>
    <xf numFmtId="0" fontId="17" fillId="0" borderId="0" xfId="51" applyFont="1" applyFill="1" applyAlignment="1">
      <alignment horizontal="center" vertical="center" wrapText="1"/>
    </xf>
    <xf numFmtId="0" fontId="17" fillId="0" borderId="2" xfId="51" applyFont="1" applyFill="1" applyBorder="1" applyAlignment="1">
      <alignment horizontal="center" vertical="center" wrapText="1"/>
    </xf>
    <xf numFmtId="0" fontId="17" fillId="0" borderId="5" xfId="51" applyFont="1" applyFill="1" applyBorder="1" applyAlignment="1">
      <alignment horizontal="center" vertical="center" wrapText="1"/>
    </xf>
    <xf numFmtId="0" fontId="17" fillId="0" borderId="3" xfId="51" applyFont="1" applyFill="1" applyBorder="1" applyAlignment="1">
      <alignment horizontal="center" vertical="center" wrapText="1"/>
    </xf>
    <xf numFmtId="0" fontId="17" fillId="0" borderId="4" xfId="51" applyFont="1" applyFill="1" applyBorder="1" applyAlignment="1">
      <alignment horizontal="center" vertical="center" wrapText="1"/>
    </xf>
    <xf numFmtId="0" fontId="4" fillId="0" borderId="18" xfId="51" applyFill="1" applyBorder="1" applyAlignment="1">
      <alignment vertical="center"/>
    </xf>
    <xf numFmtId="0" fontId="4" fillId="0" borderId="7" xfId="51" applyFill="1" applyBorder="1" applyAlignment="1">
      <alignment vertical="center"/>
    </xf>
    <xf numFmtId="0" fontId="4" fillId="0" borderId="8" xfId="51" applyFill="1" applyBorder="1" applyAlignment="1">
      <alignment vertical="center"/>
    </xf>
    <xf numFmtId="0" fontId="14" fillId="0" borderId="9" xfId="51" applyFont="1" applyFill="1" applyBorder="1" applyAlignment="1">
      <alignment vertical="center"/>
    </xf>
    <xf numFmtId="0" fontId="14" fillId="0" borderId="0" xfId="51" applyFont="1" applyFill="1" applyAlignment="1">
      <alignment vertical="center"/>
    </xf>
    <xf numFmtId="0" fontId="14" fillId="0" borderId="2" xfId="51" applyFont="1" applyFill="1" applyBorder="1" applyAlignment="1">
      <alignment vertical="center"/>
    </xf>
    <xf numFmtId="0" fontId="4" fillId="0" borderId="0" xfId="51" applyFill="1" applyAlignment="1">
      <alignment horizontal="center" vertical="center" wrapText="1"/>
    </xf>
    <xf numFmtId="0" fontId="4" fillId="0" borderId="10" xfId="51" applyFill="1" applyBorder="1" applyAlignment="1">
      <alignment horizontal="center" vertical="center" wrapText="1"/>
    </xf>
    <xf numFmtId="0" fontId="4" fillId="0" borderId="3" xfId="51" applyFill="1" applyBorder="1" applyAlignment="1">
      <alignment horizontal="center" vertical="center" wrapText="1"/>
    </xf>
    <xf numFmtId="0" fontId="4" fillId="0" borderId="15" xfId="51" applyFill="1" applyBorder="1" applyAlignment="1">
      <alignment horizontal="center" vertical="center" wrapText="1"/>
    </xf>
    <xf numFmtId="0" fontId="46" fillId="0" borderId="9" xfId="51" applyFont="1" applyFill="1" applyBorder="1" applyAlignment="1">
      <alignment horizontal="center" vertical="center"/>
    </xf>
    <xf numFmtId="0" fontId="46" fillId="0" borderId="0" xfId="51" applyFont="1" applyFill="1" applyAlignment="1">
      <alignment horizontal="center" vertical="center"/>
    </xf>
    <xf numFmtId="0" fontId="46" fillId="0" borderId="2" xfId="51" applyFont="1" applyFill="1" applyBorder="1" applyAlignment="1">
      <alignment horizontal="center" vertical="center"/>
    </xf>
    <xf numFmtId="0" fontId="46" fillId="0" borderId="14" xfId="51" applyFont="1" applyFill="1" applyBorder="1" applyAlignment="1">
      <alignment horizontal="center" vertical="center"/>
    </xf>
    <xf numFmtId="0" fontId="46" fillId="0" borderId="3" xfId="51" applyFont="1" applyFill="1" applyBorder="1" applyAlignment="1">
      <alignment horizontal="center" vertical="center"/>
    </xf>
    <xf numFmtId="0" fontId="46" fillId="0" borderId="4" xfId="51" applyFont="1" applyFill="1" applyBorder="1" applyAlignment="1">
      <alignment horizontal="center" vertical="center"/>
    </xf>
    <xf numFmtId="0" fontId="46" fillId="0" borderId="1" xfId="51" applyFont="1" applyFill="1" applyBorder="1" applyAlignment="1">
      <alignment horizontal="center" vertical="center"/>
    </xf>
    <xf numFmtId="0" fontId="46" fillId="0" borderId="10" xfId="51" applyFont="1" applyFill="1" applyBorder="1" applyAlignment="1">
      <alignment horizontal="center" vertical="center"/>
    </xf>
    <xf numFmtId="0" fontId="46" fillId="0" borderId="5" xfId="51" applyFont="1" applyFill="1" applyBorder="1" applyAlignment="1">
      <alignment horizontal="center" vertical="center"/>
    </xf>
    <xf numFmtId="0" fontId="46" fillId="0" borderId="15" xfId="51" applyFont="1" applyFill="1" applyBorder="1" applyAlignment="1">
      <alignment horizontal="center" vertical="center"/>
    </xf>
    <xf numFmtId="0" fontId="11" fillId="0" borderId="1" xfId="51" applyFont="1" applyFill="1" applyBorder="1" applyAlignment="1">
      <alignment horizontal="center" vertical="center" wrapText="1"/>
    </xf>
    <xf numFmtId="0" fontId="11" fillId="0" borderId="0" xfId="51" applyFont="1" applyFill="1" applyBorder="1" applyAlignment="1">
      <alignment horizontal="center" vertical="center" wrapText="1"/>
    </xf>
    <xf numFmtId="0" fontId="11" fillId="0" borderId="2" xfId="51" applyFont="1" applyFill="1" applyBorder="1" applyAlignment="1">
      <alignment horizontal="center" vertical="center" wrapText="1"/>
    </xf>
    <xf numFmtId="0" fontId="11" fillId="0" borderId="5" xfId="51" applyFont="1" applyFill="1" applyBorder="1" applyAlignment="1">
      <alignment horizontal="center" vertical="center" wrapText="1"/>
    </xf>
    <xf numFmtId="0" fontId="11" fillId="0" borderId="3" xfId="51" applyFont="1" applyFill="1" applyBorder="1" applyAlignment="1">
      <alignment horizontal="center" vertical="center" wrapText="1"/>
    </xf>
    <xf numFmtId="0" fontId="11" fillId="0" borderId="4" xfId="51" applyFont="1" applyFill="1" applyBorder="1" applyAlignment="1">
      <alignment horizontal="center" vertical="center" wrapText="1"/>
    </xf>
    <xf numFmtId="0" fontId="8" fillId="0" borderId="42" xfId="0" applyFont="1" applyFill="1" applyBorder="1" applyAlignment="1">
      <alignment horizontal="left"/>
    </xf>
    <xf numFmtId="0" fontId="8" fillId="0" borderId="43" xfId="0" applyFont="1" applyFill="1" applyBorder="1" applyAlignment="1">
      <alignment horizontal="left"/>
    </xf>
    <xf numFmtId="0" fontId="8" fillId="0" borderId="41" xfId="0" applyFont="1" applyFill="1" applyBorder="1" applyAlignment="1">
      <alignment horizontal="left"/>
    </xf>
    <xf numFmtId="0" fontId="8" fillId="0" borderId="0" xfId="0" quotePrefix="1" applyFont="1" applyFill="1" applyBorder="1" applyAlignment="1">
      <alignment horizontal="left" vertical="top" wrapText="1"/>
    </xf>
    <xf numFmtId="0" fontId="12" fillId="0" borderId="24" xfId="0" applyFont="1" applyFill="1" applyBorder="1" applyAlignment="1">
      <alignment horizontal="center" vertical="center" textRotation="90"/>
    </xf>
    <xf numFmtId="0" fontId="12" fillId="0" borderId="29" xfId="0" applyFont="1" applyFill="1" applyBorder="1" applyAlignment="1">
      <alignment horizontal="center" vertical="center" textRotation="90"/>
    </xf>
    <xf numFmtId="0" fontId="12" fillId="0" borderId="25" xfId="0" applyFont="1" applyFill="1" applyBorder="1" applyAlignment="1">
      <alignment horizontal="center" vertical="center" textRotation="90"/>
    </xf>
    <xf numFmtId="0" fontId="5" fillId="0" borderId="6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8" fillId="0" borderId="27" xfId="0" applyFont="1" applyFill="1" applyBorder="1" applyAlignment="1">
      <alignment horizontal="center" vertical="center"/>
    </xf>
    <xf numFmtId="0" fontId="48" fillId="0" borderId="14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8" xfId="0" applyFont="1" applyFill="1" applyBorder="1" applyAlignment="1">
      <alignment horizontal="center" vertical="center" textRotation="90"/>
    </xf>
    <xf numFmtId="0" fontId="6" fillId="0" borderId="10" xfId="0" applyFont="1" applyFill="1" applyBorder="1" applyAlignment="1">
      <alignment horizontal="center" vertical="center" textRotation="90"/>
    </xf>
    <xf numFmtId="0" fontId="6" fillId="0" borderId="24" xfId="0" applyFont="1" applyFill="1" applyBorder="1" applyAlignment="1">
      <alignment horizontal="center" vertical="center" textRotation="90"/>
    </xf>
    <xf numFmtId="0" fontId="6" fillId="0" borderId="29" xfId="0" applyFont="1" applyFill="1" applyBorder="1" applyAlignment="1">
      <alignment horizontal="center" vertical="center" textRotation="90"/>
    </xf>
    <xf numFmtId="0" fontId="6" fillId="8" borderId="24" xfId="0" applyFont="1" applyFill="1" applyBorder="1" applyAlignment="1">
      <alignment horizontal="center" vertical="center" textRotation="90" wrapText="1"/>
    </xf>
    <xf numFmtId="0" fontId="6" fillId="8" borderId="25" xfId="0" applyFont="1" applyFill="1" applyBorder="1" applyAlignment="1">
      <alignment horizontal="center" vertical="center" textRotation="90" wrapText="1"/>
    </xf>
    <xf numFmtId="0" fontId="6" fillId="9" borderId="24" xfId="0" applyFont="1" applyFill="1" applyBorder="1" applyAlignment="1">
      <alignment horizontal="center" vertical="center" textRotation="90" wrapText="1"/>
    </xf>
    <xf numFmtId="0" fontId="6" fillId="9" borderId="25" xfId="0" applyFont="1" applyFill="1" applyBorder="1" applyAlignment="1">
      <alignment horizontal="center" vertical="center" textRotation="90" wrapText="1"/>
    </xf>
    <xf numFmtId="0" fontId="6" fillId="0" borderId="24" xfId="0" applyFont="1" applyFill="1" applyBorder="1" applyAlignment="1">
      <alignment horizontal="center" vertical="center" textRotation="90" wrapText="1"/>
    </xf>
    <xf numFmtId="0" fontId="6" fillId="0" borderId="25" xfId="0" applyFont="1" applyFill="1" applyBorder="1" applyAlignment="1">
      <alignment horizontal="center" vertical="center" textRotation="90" wrapText="1"/>
    </xf>
    <xf numFmtId="0" fontId="6" fillId="0" borderId="6" xfId="0" applyFont="1" applyFill="1" applyBorder="1" applyAlignment="1">
      <alignment horizontal="center" vertical="center" textRotation="90"/>
    </xf>
    <xf numFmtId="0" fontId="6" fillId="0" borderId="11" xfId="0" applyFont="1" applyFill="1" applyBorder="1" applyAlignment="1">
      <alignment horizontal="center" vertical="center" textRotation="90"/>
    </xf>
    <xf numFmtId="0" fontId="6" fillId="0" borderId="25" xfId="0" applyFont="1" applyFill="1" applyBorder="1" applyAlignment="1">
      <alignment horizontal="center" vertical="center" textRotation="90"/>
    </xf>
    <xf numFmtId="0" fontId="6" fillId="0" borderId="24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0" fontId="6" fillId="0" borderId="51" xfId="0" applyFont="1" applyFill="1" applyBorder="1" applyAlignment="1">
      <alignment horizontal="center" vertical="center" textRotation="90" wrapText="1"/>
    </xf>
    <xf numFmtId="0" fontId="4" fillId="0" borderId="51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 textRotation="90" wrapText="1"/>
    </xf>
    <xf numFmtId="0" fontId="6" fillId="0" borderId="6" xfId="1" applyNumberFormat="1" applyFont="1" applyFill="1" applyBorder="1" applyAlignment="1">
      <alignment horizontal="center" vertical="center" textRotation="90" wrapText="1"/>
    </xf>
    <xf numFmtId="0" fontId="6" fillId="0" borderId="8" xfId="1" applyNumberFormat="1" applyFont="1" applyFill="1" applyBorder="1" applyAlignment="1">
      <alignment horizontal="center" vertical="center" textRotation="90" wrapText="1"/>
    </xf>
    <xf numFmtId="0" fontId="6" fillId="0" borderId="11" xfId="1" applyNumberFormat="1" applyFont="1" applyFill="1" applyBorder="1" applyAlignment="1">
      <alignment horizontal="center" vertical="center" textRotation="90" wrapText="1"/>
    </xf>
    <xf numFmtId="0" fontId="6" fillId="0" borderId="13" xfId="1" applyNumberFormat="1" applyFont="1" applyFill="1" applyBorder="1" applyAlignment="1">
      <alignment horizontal="center" vertical="center" textRotation="90" wrapText="1"/>
    </xf>
    <xf numFmtId="0" fontId="6" fillId="0" borderId="24" xfId="1" applyNumberFormat="1" applyFont="1" applyFill="1" applyBorder="1" applyAlignment="1">
      <alignment horizontal="center" vertical="center" textRotation="90" wrapText="1"/>
    </xf>
    <xf numFmtId="0" fontId="6" fillId="0" borderId="25" xfId="1" applyNumberFormat="1" applyFont="1" applyFill="1" applyBorder="1" applyAlignment="1">
      <alignment horizontal="center" vertical="center" textRotation="90" wrapText="1"/>
    </xf>
    <xf numFmtId="0" fontId="48" fillId="0" borderId="57" xfId="0" applyFont="1" applyFill="1" applyBorder="1" applyAlignment="1">
      <alignment horizontal="center" vertical="center"/>
    </xf>
  </cellXfs>
  <cellStyles count="462">
    <cellStyle name="ac" xfId="6" xr:uid="{00000000-0005-0000-0000-000000000000}"/>
    <cellStyle name="ANDREA" xfId="7" xr:uid="{00000000-0005-0000-0000-000001000000}"/>
    <cellStyle name="ANDREA 2" xfId="362" xr:uid="{00000000-0005-0000-0000-000002000000}"/>
    <cellStyle name="ANDREA 3" xfId="412" xr:uid="{00000000-0005-0000-0000-000003000000}"/>
    <cellStyle name="args.style" xfId="8" xr:uid="{00000000-0005-0000-0000-000004000000}"/>
    <cellStyle name="arial12" xfId="9" xr:uid="{00000000-0005-0000-0000-000005000000}"/>
    <cellStyle name="arial14" xfId="10" xr:uid="{00000000-0005-0000-0000-000006000000}"/>
    <cellStyle name="Bold 11" xfId="11" xr:uid="{00000000-0005-0000-0000-000007000000}"/>
    <cellStyle name="Calc Currency (0)" xfId="12" xr:uid="{00000000-0005-0000-0000-000008000000}"/>
    <cellStyle name="Calc Currency (0) 2" xfId="13" xr:uid="{00000000-0005-0000-0000-000009000000}"/>
    <cellStyle name="Calc Currency (0) 2 2" xfId="127" xr:uid="{00000000-0005-0000-0000-00000A000000}"/>
    <cellStyle name="Collegamento ipertestuale" xfId="234" builtinId="8" hidden="1"/>
    <cellStyle name="Collegamento ipertestuale" xfId="236" builtinId="8" hidden="1"/>
    <cellStyle name="Collegamento ipertestuale" xfId="240" builtinId="8" hidden="1"/>
    <cellStyle name="Collegamento ipertestuale" xfId="242" builtinId="8" hidden="1"/>
    <cellStyle name="Collegamento ipertestuale" xfId="244" builtinId="8" hidden="1"/>
    <cellStyle name="Collegamento ipertestuale" xfId="246" builtinId="8" hidden="1"/>
    <cellStyle name="Collegamento ipertestuale" xfId="248" builtinId="8" hidden="1"/>
    <cellStyle name="Collegamento ipertestuale" xfId="250" builtinId="8" hidden="1"/>
    <cellStyle name="Collegamento ipertestuale" xfId="252" builtinId="8" hidden="1"/>
    <cellStyle name="Collegamento ipertestuale" xfId="256" builtinId="8" hidden="1"/>
    <cellStyle name="Collegamento ipertestuale" xfId="258" builtinId="8" hidden="1"/>
    <cellStyle name="Collegamento ipertestuale" xfId="260" builtinId="8" hidden="1"/>
    <cellStyle name="Collegamento ipertestuale" xfId="262" builtinId="8" hidden="1"/>
    <cellStyle name="Collegamento ipertestuale" xfId="302" builtinId="8" hidden="1"/>
    <cellStyle name="Collegamento ipertestuale" xfId="304" builtinId="8" hidden="1"/>
    <cellStyle name="Collegamento ipertestuale" xfId="306" builtinId="8" hidden="1"/>
    <cellStyle name="Collegamento ipertestuale" xfId="308" builtinId="8" hidden="1"/>
    <cellStyle name="Collegamento ipertestuale" xfId="254" builtinId="8" hidden="1"/>
    <cellStyle name="Collegamento ipertestuale" xfId="238" builtinId="8" hidden="1"/>
    <cellStyle name="Collegamento ipertestuale" xfId="212" builtinId="8" hidden="1"/>
    <cellStyle name="Collegamento ipertestuale" xfId="214" builtinId="8" hidden="1"/>
    <cellStyle name="Collegamento ipertestuale" xfId="216" builtinId="8" hidden="1"/>
    <cellStyle name="Collegamento ipertestuale" xfId="218" builtinId="8" hidden="1"/>
    <cellStyle name="Collegamento ipertestuale" xfId="220" builtinId="8" hidden="1"/>
    <cellStyle name="Collegamento ipertestuale" xfId="224" builtinId="8" hidden="1"/>
    <cellStyle name="Collegamento ipertestuale" xfId="226" builtinId="8" hidden="1"/>
    <cellStyle name="Collegamento ipertestuale" xfId="228" builtinId="8" hidden="1"/>
    <cellStyle name="Collegamento ipertestuale" xfId="230" builtinId="8" hidden="1"/>
    <cellStyle name="Collegamento ipertestuale" xfId="232" builtinId="8" hidden="1"/>
    <cellStyle name="Collegamento ipertestuale" xfId="222" builtinId="8" hidden="1"/>
    <cellStyle name="Collegamento ipertestuale" xfId="202" builtinId="8" hidden="1"/>
    <cellStyle name="Collegamento ipertestuale" xfId="204" builtinId="8" hidden="1"/>
    <cellStyle name="Collegamento ipertestuale" xfId="206" builtinId="8" hidden="1"/>
    <cellStyle name="Collegamento ipertestuale" xfId="208" builtinId="8" hidden="1"/>
    <cellStyle name="Collegamento ipertestuale" xfId="210" builtinId="8" hidden="1"/>
    <cellStyle name="Collegamento ipertestuale" xfId="198" builtinId="8" hidden="1"/>
    <cellStyle name="Collegamento ipertestuale" xfId="200" builtinId="8" hidden="1"/>
    <cellStyle name="Collegamento ipertestuale" xfId="196" builtinId="8" hidden="1"/>
    <cellStyle name="Collegamento ipertestuale" xfId="194" builtinId="8" hidden="1"/>
    <cellStyle name="Collegamento ipertestuale visitato" xfId="253" builtinId="9" hidden="1"/>
    <cellStyle name="Collegamento ipertestuale visitato" xfId="257" builtinId="9" hidden="1"/>
    <cellStyle name="Collegamento ipertestuale visitato" xfId="259" builtinId="9" hidden="1"/>
    <cellStyle name="Collegamento ipertestuale visitato" xfId="261" builtinId="9" hidden="1"/>
    <cellStyle name="Collegamento ipertestuale visitato" xfId="303" builtinId="9" hidden="1"/>
    <cellStyle name="Collegamento ipertestuale visitato" xfId="305" builtinId="9" hidden="1"/>
    <cellStyle name="Collegamento ipertestuale visitato" xfId="307" builtinId="9" hidden="1"/>
    <cellStyle name="Collegamento ipertestuale visitato" xfId="309" builtinId="9" hidden="1"/>
    <cellStyle name="Collegamento ipertestuale visitato" xfId="263" builtinId="9" hidden="1"/>
    <cellStyle name="Collegamento ipertestuale visitato" xfId="255" builtinId="9" hidden="1"/>
    <cellStyle name="Collegamento ipertestuale visitato" xfId="219" builtinId="9" hidden="1"/>
    <cellStyle name="Collegamento ipertestuale visitato" xfId="221" builtinId="9" hidden="1"/>
    <cellStyle name="Collegamento ipertestuale visitato" xfId="225" builtinId="9" hidden="1"/>
    <cellStyle name="Collegamento ipertestuale visitato" xfId="227" builtinId="9" hidden="1"/>
    <cellStyle name="Collegamento ipertestuale visitato" xfId="229" builtinId="9" hidden="1"/>
    <cellStyle name="Collegamento ipertestuale visitato" xfId="231" builtinId="9" hidden="1"/>
    <cellStyle name="Collegamento ipertestuale visitato" xfId="233" builtinId="9" hidden="1"/>
    <cellStyle name="Collegamento ipertestuale visitato" xfId="235" builtinId="9" hidden="1"/>
    <cellStyle name="Collegamento ipertestuale visitato" xfId="237" builtinId="9" hidden="1"/>
    <cellStyle name="Collegamento ipertestuale visitato" xfId="241" builtinId="9" hidden="1"/>
    <cellStyle name="Collegamento ipertestuale visitato" xfId="243" builtinId="9" hidden="1"/>
    <cellStyle name="Collegamento ipertestuale visitato" xfId="245" builtinId="9" hidden="1"/>
    <cellStyle name="Collegamento ipertestuale visitato" xfId="247" builtinId="9" hidden="1"/>
    <cellStyle name="Collegamento ipertestuale visitato" xfId="249" builtinId="9" hidden="1"/>
    <cellStyle name="Collegamento ipertestuale visitato" xfId="251" builtinId="9" hidden="1"/>
    <cellStyle name="Collegamento ipertestuale visitato" xfId="239" builtinId="9" hidden="1"/>
    <cellStyle name="Collegamento ipertestuale visitato" xfId="223" builtinId="9" hidden="1"/>
    <cellStyle name="Collegamento ipertestuale visitato" xfId="205" builtinId="9" hidden="1"/>
    <cellStyle name="Collegamento ipertestuale visitato" xfId="209" builtinId="9" hidden="1"/>
    <cellStyle name="Collegamento ipertestuale visitato" xfId="211" builtinId="9" hidden="1"/>
    <cellStyle name="Collegamento ipertestuale visitato" xfId="213" builtinId="9" hidden="1"/>
    <cellStyle name="Collegamento ipertestuale visitato" xfId="215" builtinId="9" hidden="1"/>
    <cellStyle name="Collegamento ipertestuale visitato" xfId="217" builtinId="9" hidden="1"/>
    <cellStyle name="Collegamento ipertestuale visitato" xfId="207" builtinId="9" hidden="1"/>
    <cellStyle name="Collegamento ipertestuale visitato" xfId="199" builtinId="9" hidden="1"/>
    <cellStyle name="Collegamento ipertestuale visitato" xfId="201" builtinId="9" hidden="1"/>
    <cellStyle name="Collegamento ipertestuale visitato" xfId="203" builtinId="9" hidden="1"/>
    <cellStyle name="Collegamento ipertestuale visitato" xfId="197" builtinId="9" hidden="1"/>
    <cellStyle name="Collegamento ipertestuale visitato" xfId="195" builtinId="9" hidden="1"/>
    <cellStyle name="Copied" xfId="14" xr:uid="{00000000-0005-0000-0000-000059000000}"/>
    <cellStyle name="Currency (0)" xfId="15" xr:uid="{00000000-0005-0000-0000-00005A000000}"/>
    <cellStyle name="Currency (2)" xfId="16" xr:uid="{00000000-0005-0000-0000-00005B000000}"/>
    <cellStyle name="Date" xfId="17" xr:uid="{00000000-0005-0000-0000-00005C000000}"/>
    <cellStyle name="Date-Time" xfId="18" xr:uid="{00000000-0005-0000-0000-00005D000000}"/>
    <cellStyle name="Decimal 1" xfId="19" xr:uid="{00000000-0005-0000-0000-00005E000000}"/>
    <cellStyle name="Decimal 2" xfId="20" xr:uid="{00000000-0005-0000-0000-00005F000000}"/>
    <cellStyle name="Decimal 3" xfId="21" xr:uid="{00000000-0005-0000-0000-000060000000}"/>
    <cellStyle name="Dezimal [0]_PP3 2YO spares is-0" xfId="22" xr:uid="{00000000-0005-0000-0000-000061000000}"/>
    <cellStyle name="Dezimal_PP3 2YO spares is-0" xfId="23" xr:uid="{00000000-0005-0000-0000-000062000000}"/>
    <cellStyle name="Entered" xfId="24" xr:uid="{00000000-0005-0000-0000-000063000000}"/>
    <cellStyle name="Euro" xfId="1" xr:uid="{00000000-0005-0000-0000-000064000000}"/>
    <cellStyle name="Euro 2" xfId="2" xr:uid="{00000000-0005-0000-0000-000065000000}"/>
    <cellStyle name="Euro 2 2" xfId="128" xr:uid="{00000000-0005-0000-0000-000066000000}"/>
    <cellStyle name="Euro 2 3" xfId="190" xr:uid="{00000000-0005-0000-0000-000067000000}"/>
    <cellStyle name="Euro 2 4" xfId="25" xr:uid="{00000000-0005-0000-0000-000068000000}"/>
    <cellStyle name="Euro 2 5" xfId="264" xr:uid="{00000000-0005-0000-0000-000069000000}"/>
    <cellStyle name="Euro 3" xfId="26" xr:uid="{00000000-0005-0000-0000-00006A000000}"/>
    <cellStyle name="Euro 3 2" xfId="129" xr:uid="{00000000-0005-0000-0000-00006B000000}"/>
    <cellStyle name="Euro 3 3" xfId="191" xr:uid="{00000000-0005-0000-0000-00006C000000}"/>
    <cellStyle name="Euro 3 4" xfId="265" xr:uid="{00000000-0005-0000-0000-00006D000000}"/>
    <cellStyle name="Euro 4" xfId="27" xr:uid="{00000000-0005-0000-0000-00006E000000}"/>
    <cellStyle name="Euro 4 2" xfId="130" xr:uid="{00000000-0005-0000-0000-00006F000000}"/>
    <cellStyle name="Euro 4 3" xfId="192" xr:uid="{00000000-0005-0000-0000-000070000000}"/>
    <cellStyle name="Euro 4 4" xfId="266" xr:uid="{00000000-0005-0000-0000-000071000000}"/>
    <cellStyle name="Euro 5" xfId="28" xr:uid="{00000000-0005-0000-0000-000072000000}"/>
    <cellStyle name="Euro 5 2" xfId="29" xr:uid="{00000000-0005-0000-0000-000073000000}"/>
    <cellStyle name="Euro 5 2 2" xfId="132" xr:uid="{00000000-0005-0000-0000-000074000000}"/>
    <cellStyle name="Euro 5 2 3" xfId="352" xr:uid="{00000000-0005-0000-0000-000075000000}"/>
    <cellStyle name="Euro 5 3" xfId="131" xr:uid="{00000000-0005-0000-0000-000076000000}"/>
    <cellStyle name="Euro 5 4" xfId="193" xr:uid="{00000000-0005-0000-0000-000077000000}"/>
    <cellStyle name="Euro 5 5" xfId="267" xr:uid="{00000000-0005-0000-0000-000078000000}"/>
    <cellStyle name="Euro 6" xfId="30" xr:uid="{00000000-0005-0000-0000-000079000000}"/>
    <cellStyle name="Euro 6 2" xfId="133" xr:uid="{00000000-0005-0000-0000-00007A000000}"/>
    <cellStyle name="Euro 6 2 2" xfId="353" xr:uid="{00000000-0005-0000-0000-00007B000000}"/>
    <cellStyle name="Euro 6 2 3" xfId="354" xr:uid="{00000000-0005-0000-0000-00007C000000}"/>
    <cellStyle name="Euro 6 3" xfId="355" xr:uid="{00000000-0005-0000-0000-00007D000000}"/>
    <cellStyle name="Euro 6 4" xfId="356" xr:uid="{00000000-0005-0000-0000-00007E000000}"/>
    <cellStyle name="Euro 7" xfId="31" xr:uid="{00000000-0005-0000-0000-00007F000000}"/>
    <cellStyle name="Euro 7 2" xfId="134" xr:uid="{00000000-0005-0000-0000-000080000000}"/>
    <cellStyle name="Euro 7 3" xfId="357" xr:uid="{00000000-0005-0000-0000-000081000000}"/>
    <cellStyle name="Euro 8" xfId="32" xr:uid="{00000000-0005-0000-0000-000082000000}"/>
    <cellStyle name="Euro 8 2" xfId="135" xr:uid="{00000000-0005-0000-0000-000083000000}"/>
    <cellStyle name="Euro 9" xfId="125" xr:uid="{00000000-0005-0000-0000-000084000000}"/>
    <cellStyle name="Euro 9 2" xfId="179" xr:uid="{00000000-0005-0000-0000-000085000000}"/>
    <cellStyle name="Grey" xfId="33" xr:uid="{00000000-0005-0000-0000-000086000000}"/>
    <cellStyle name="Header1" xfId="34" xr:uid="{00000000-0005-0000-0000-000087000000}"/>
    <cellStyle name="Header1 2" xfId="35" xr:uid="{00000000-0005-0000-0000-000088000000}"/>
    <cellStyle name="Header2" xfId="36" xr:uid="{00000000-0005-0000-0000-000089000000}"/>
    <cellStyle name="Header2 2" xfId="37" xr:uid="{00000000-0005-0000-0000-00008A000000}"/>
    <cellStyle name="Header2 2 2" xfId="364" xr:uid="{00000000-0005-0000-0000-00008B000000}"/>
    <cellStyle name="Header2 2 3" xfId="414" xr:uid="{00000000-0005-0000-0000-00008C000000}"/>
    <cellStyle name="Header2 3" xfId="363" xr:uid="{00000000-0005-0000-0000-00008D000000}"/>
    <cellStyle name="Header2 4" xfId="413" xr:uid="{00000000-0005-0000-0000-00008E000000}"/>
    <cellStyle name="HEADINGS" xfId="38" xr:uid="{00000000-0005-0000-0000-00008F000000}"/>
    <cellStyle name="HEADINGSTOP" xfId="39" xr:uid="{00000000-0005-0000-0000-000090000000}"/>
    <cellStyle name="Input %" xfId="41" xr:uid="{00000000-0005-0000-0000-000091000000}"/>
    <cellStyle name="Input [yellow]" xfId="42" xr:uid="{00000000-0005-0000-0000-000092000000}"/>
    <cellStyle name="Input [yellow] 2" xfId="365" xr:uid="{00000000-0005-0000-0000-000093000000}"/>
    <cellStyle name="Input [yellow] 3" xfId="415" xr:uid="{00000000-0005-0000-0000-000094000000}"/>
    <cellStyle name="Input 1" xfId="43" xr:uid="{00000000-0005-0000-0000-000095000000}"/>
    <cellStyle name="Input 2" xfId="40" xr:uid="{00000000-0005-0000-0000-000096000000}"/>
    <cellStyle name="Input 3" xfId="44" xr:uid="{00000000-0005-0000-0000-000097000000}"/>
    <cellStyle name="Input 4" xfId="280" xr:uid="{00000000-0005-0000-0000-000098000000}"/>
    <cellStyle name="Migliaia (0)_30111_0" xfId="45" xr:uid="{00000000-0005-0000-0000-000099000000}"/>
    <cellStyle name="Milliers [0]_EDYAN" xfId="46" xr:uid="{00000000-0005-0000-0000-00009A000000}"/>
    <cellStyle name="Milliers_EDYAN" xfId="47" xr:uid="{00000000-0005-0000-0000-00009B000000}"/>
    <cellStyle name="Monétaire [0]_EDYAN" xfId="48" xr:uid="{00000000-0005-0000-0000-00009C000000}"/>
    <cellStyle name="Monétaire_EDYAN" xfId="49" xr:uid="{00000000-0005-0000-0000-00009D000000}"/>
    <cellStyle name="Month" xfId="50" xr:uid="{00000000-0005-0000-0000-00009E000000}"/>
    <cellStyle name="Normal - Style1" xfId="51" xr:uid="{00000000-0005-0000-0000-00009F000000}"/>
    <cellStyle name="Normal - Style1 2" xfId="52" xr:uid="{00000000-0005-0000-0000-0000A0000000}"/>
    <cellStyle name="Normal - Style1 2 2" xfId="136" xr:uid="{00000000-0005-0000-0000-0000A1000000}"/>
    <cellStyle name="Normal 10" xfId="53" xr:uid="{00000000-0005-0000-0000-0000A2000000}"/>
    <cellStyle name="Normal 10 2" xfId="137" xr:uid="{00000000-0005-0000-0000-0000A3000000}"/>
    <cellStyle name="Normal 11" xfId="54" xr:uid="{00000000-0005-0000-0000-0000A4000000}"/>
    <cellStyle name="Normal 12" xfId="55" xr:uid="{00000000-0005-0000-0000-0000A5000000}"/>
    <cellStyle name="Normal 12 2" xfId="138" xr:uid="{00000000-0005-0000-0000-0000A6000000}"/>
    <cellStyle name="Normal 13" xfId="56" xr:uid="{00000000-0005-0000-0000-0000A7000000}"/>
    <cellStyle name="Normal 13 2" xfId="139" xr:uid="{00000000-0005-0000-0000-0000A8000000}"/>
    <cellStyle name="Normal 14" xfId="57" xr:uid="{00000000-0005-0000-0000-0000A9000000}"/>
    <cellStyle name="Normal 14 2" xfId="140" xr:uid="{00000000-0005-0000-0000-0000AA000000}"/>
    <cellStyle name="Normal 15" xfId="58" xr:uid="{00000000-0005-0000-0000-0000AB000000}"/>
    <cellStyle name="Normal 15 2" xfId="141" xr:uid="{00000000-0005-0000-0000-0000AC000000}"/>
    <cellStyle name="Normal 16" xfId="59" xr:uid="{00000000-0005-0000-0000-0000AD000000}"/>
    <cellStyle name="Normal 16 2" xfId="142" xr:uid="{00000000-0005-0000-0000-0000AE000000}"/>
    <cellStyle name="Normal 17" xfId="60" xr:uid="{00000000-0005-0000-0000-0000AF000000}"/>
    <cellStyle name="Normal 17 2" xfId="143" xr:uid="{00000000-0005-0000-0000-0000B0000000}"/>
    <cellStyle name="Normal 18" xfId="61" xr:uid="{00000000-0005-0000-0000-0000B1000000}"/>
    <cellStyle name="Normal 18 2" xfId="144" xr:uid="{00000000-0005-0000-0000-0000B2000000}"/>
    <cellStyle name="Normal 19" xfId="62" xr:uid="{00000000-0005-0000-0000-0000B3000000}"/>
    <cellStyle name="Normal 19 2" xfId="145" xr:uid="{00000000-0005-0000-0000-0000B4000000}"/>
    <cellStyle name="Normal 2" xfId="63" xr:uid="{00000000-0005-0000-0000-0000B5000000}"/>
    <cellStyle name="Normal 2 2" xfId="146" xr:uid="{00000000-0005-0000-0000-0000B6000000}"/>
    <cellStyle name="Normal 20" xfId="64" xr:uid="{00000000-0005-0000-0000-0000B7000000}"/>
    <cellStyle name="Normal 20 2" xfId="147" xr:uid="{00000000-0005-0000-0000-0000B8000000}"/>
    <cellStyle name="Normal 21" xfId="65" xr:uid="{00000000-0005-0000-0000-0000B9000000}"/>
    <cellStyle name="Normal 21 2" xfId="148" xr:uid="{00000000-0005-0000-0000-0000BA000000}"/>
    <cellStyle name="Normal 22" xfId="66" xr:uid="{00000000-0005-0000-0000-0000BB000000}"/>
    <cellStyle name="Normal 22 2" xfId="149" xr:uid="{00000000-0005-0000-0000-0000BC000000}"/>
    <cellStyle name="Normal 23" xfId="67" xr:uid="{00000000-0005-0000-0000-0000BD000000}"/>
    <cellStyle name="Normal 23 2" xfId="150" xr:uid="{00000000-0005-0000-0000-0000BE000000}"/>
    <cellStyle name="Normal 24" xfId="68" xr:uid="{00000000-0005-0000-0000-0000BF000000}"/>
    <cellStyle name="Normal 24 2" xfId="151" xr:uid="{00000000-0005-0000-0000-0000C0000000}"/>
    <cellStyle name="Normal 25" xfId="69" xr:uid="{00000000-0005-0000-0000-0000C1000000}"/>
    <cellStyle name="Normal 25 2" xfId="152" xr:uid="{00000000-0005-0000-0000-0000C2000000}"/>
    <cellStyle name="Normal 26" xfId="70" xr:uid="{00000000-0005-0000-0000-0000C3000000}"/>
    <cellStyle name="Normal 26 2" xfId="153" xr:uid="{00000000-0005-0000-0000-0000C4000000}"/>
    <cellStyle name="Normal 27" xfId="71" xr:uid="{00000000-0005-0000-0000-0000C5000000}"/>
    <cellStyle name="Normal 27 2" xfId="154" xr:uid="{00000000-0005-0000-0000-0000C6000000}"/>
    <cellStyle name="Normal 28" xfId="72" xr:uid="{00000000-0005-0000-0000-0000C7000000}"/>
    <cellStyle name="Normal 28 2" xfId="155" xr:uid="{00000000-0005-0000-0000-0000C8000000}"/>
    <cellStyle name="Normal 29" xfId="73" xr:uid="{00000000-0005-0000-0000-0000C9000000}"/>
    <cellStyle name="Normal 29 2" xfId="156" xr:uid="{00000000-0005-0000-0000-0000CA000000}"/>
    <cellStyle name="Normal 3" xfId="74" xr:uid="{00000000-0005-0000-0000-0000CB000000}"/>
    <cellStyle name="Normal 3 2" xfId="157" xr:uid="{00000000-0005-0000-0000-0000CC000000}"/>
    <cellStyle name="Normal 30" xfId="75" xr:uid="{00000000-0005-0000-0000-0000CD000000}"/>
    <cellStyle name="Normal 30 2" xfId="158" xr:uid="{00000000-0005-0000-0000-0000CE000000}"/>
    <cellStyle name="Normal 31" xfId="76" xr:uid="{00000000-0005-0000-0000-0000CF000000}"/>
    <cellStyle name="Normal 31 2" xfId="159" xr:uid="{00000000-0005-0000-0000-0000D0000000}"/>
    <cellStyle name="Normal 32" xfId="77" xr:uid="{00000000-0005-0000-0000-0000D1000000}"/>
    <cellStyle name="Normal 32 2" xfId="160" xr:uid="{00000000-0005-0000-0000-0000D2000000}"/>
    <cellStyle name="Normal 33" xfId="78" xr:uid="{00000000-0005-0000-0000-0000D3000000}"/>
    <cellStyle name="Normal 33 2" xfId="161" xr:uid="{00000000-0005-0000-0000-0000D4000000}"/>
    <cellStyle name="Normal 34" xfId="79" xr:uid="{00000000-0005-0000-0000-0000D5000000}"/>
    <cellStyle name="Normal 34 2" xfId="162" xr:uid="{00000000-0005-0000-0000-0000D6000000}"/>
    <cellStyle name="Normal 35" xfId="126" xr:uid="{00000000-0005-0000-0000-0000D7000000}"/>
    <cellStyle name="Normal 36" xfId="187" xr:uid="{00000000-0005-0000-0000-0000D8000000}"/>
    <cellStyle name="Normal 37" xfId="188" xr:uid="{00000000-0005-0000-0000-0000D9000000}"/>
    <cellStyle name="Normal 38" xfId="186" xr:uid="{00000000-0005-0000-0000-0000DA000000}"/>
    <cellStyle name="Normal 39" xfId="189" xr:uid="{00000000-0005-0000-0000-0000DB000000}"/>
    <cellStyle name="Normal 4" xfId="80" xr:uid="{00000000-0005-0000-0000-0000DC000000}"/>
    <cellStyle name="Normal 4 2" xfId="163" xr:uid="{00000000-0005-0000-0000-0000DD000000}"/>
    <cellStyle name="Normal 40" xfId="5" xr:uid="{00000000-0005-0000-0000-0000DE000000}"/>
    <cellStyle name="Normal 41" xfId="293" xr:uid="{00000000-0005-0000-0000-0000DF000000}"/>
    <cellStyle name="Normal 42" xfId="294" xr:uid="{00000000-0005-0000-0000-0000E0000000}"/>
    <cellStyle name="Normal 43" xfId="295" xr:uid="{00000000-0005-0000-0000-0000E1000000}"/>
    <cellStyle name="Normal 5" xfId="81" xr:uid="{00000000-0005-0000-0000-0000E2000000}"/>
    <cellStyle name="Normal 5 2" xfId="164" xr:uid="{00000000-0005-0000-0000-0000E3000000}"/>
    <cellStyle name="Normal 6" xfId="82" xr:uid="{00000000-0005-0000-0000-0000E4000000}"/>
    <cellStyle name="Normal 6 2" xfId="165" xr:uid="{00000000-0005-0000-0000-0000E5000000}"/>
    <cellStyle name="Normal 7" xfId="83" xr:uid="{00000000-0005-0000-0000-0000E6000000}"/>
    <cellStyle name="Normal 7 2" xfId="166" xr:uid="{00000000-0005-0000-0000-0000E7000000}"/>
    <cellStyle name="Normal 8" xfId="84" xr:uid="{00000000-0005-0000-0000-0000E8000000}"/>
    <cellStyle name="Normal 8 2" xfId="167" xr:uid="{00000000-0005-0000-0000-0000E9000000}"/>
    <cellStyle name="Normal 9" xfId="85" xr:uid="{00000000-0005-0000-0000-0000EA000000}"/>
    <cellStyle name="Normal 9 2" xfId="168" xr:uid="{00000000-0005-0000-0000-0000EB000000}"/>
    <cellStyle name="Normale" xfId="0" builtinId="0"/>
    <cellStyle name="Normale 101" xfId="86" xr:uid="{00000000-0005-0000-0000-0000ED000000}"/>
    <cellStyle name="Normale 101 10" xfId="310" xr:uid="{00000000-0005-0000-0000-0000EE000000}"/>
    <cellStyle name="Normale 101 2" xfId="169" xr:uid="{00000000-0005-0000-0000-0000EF000000}"/>
    <cellStyle name="Normale 101 2 2" xfId="296" xr:uid="{00000000-0005-0000-0000-0000F0000000}"/>
    <cellStyle name="Normale 101 2 2 2" xfId="406" xr:uid="{00000000-0005-0000-0000-0000F1000000}"/>
    <cellStyle name="Normale 101 2 2 3" xfId="456" xr:uid="{00000000-0005-0000-0000-0000F2000000}"/>
    <cellStyle name="Normale 101 2 2 4" xfId="346" xr:uid="{00000000-0005-0000-0000-0000F3000000}"/>
    <cellStyle name="Normale 101 2 3" xfId="284" xr:uid="{00000000-0005-0000-0000-0000F4000000}"/>
    <cellStyle name="Normale 101 2 3 2" xfId="397" xr:uid="{00000000-0005-0000-0000-0000F5000000}"/>
    <cellStyle name="Normale 101 2 3 3" xfId="447" xr:uid="{00000000-0005-0000-0000-0000F6000000}"/>
    <cellStyle name="Normale 101 2 3 4" xfId="337" xr:uid="{00000000-0005-0000-0000-0000F7000000}"/>
    <cellStyle name="Normale 101 2 4" xfId="271" xr:uid="{00000000-0005-0000-0000-0000F8000000}"/>
    <cellStyle name="Normale 101 2 4 2" xfId="385" xr:uid="{00000000-0005-0000-0000-0000F9000000}"/>
    <cellStyle name="Normale 101 2 4 3" xfId="435" xr:uid="{00000000-0005-0000-0000-0000FA000000}"/>
    <cellStyle name="Normale 101 2 4 4" xfId="325" xr:uid="{00000000-0005-0000-0000-0000FB000000}"/>
    <cellStyle name="Normale 101 2 5" xfId="373" xr:uid="{00000000-0005-0000-0000-0000FC000000}"/>
    <cellStyle name="Normale 101 2 6" xfId="423" xr:uid="{00000000-0005-0000-0000-0000FD000000}"/>
    <cellStyle name="Normale 101 2 7" xfId="313" xr:uid="{00000000-0005-0000-0000-0000FE000000}"/>
    <cellStyle name="Normale 101 3" xfId="180" xr:uid="{00000000-0005-0000-0000-0000FF000000}"/>
    <cellStyle name="Normale 101 3 2" xfId="287" xr:uid="{00000000-0005-0000-0000-000000010000}"/>
    <cellStyle name="Normale 101 3 2 2" xfId="400" xr:uid="{00000000-0005-0000-0000-000001010000}"/>
    <cellStyle name="Normale 101 3 2 3" xfId="450" xr:uid="{00000000-0005-0000-0000-000002010000}"/>
    <cellStyle name="Normale 101 3 2 4" xfId="340" xr:uid="{00000000-0005-0000-0000-000003010000}"/>
    <cellStyle name="Normale 101 3 3" xfId="274" xr:uid="{00000000-0005-0000-0000-000004010000}"/>
    <cellStyle name="Normale 101 3 3 2" xfId="388" xr:uid="{00000000-0005-0000-0000-000005010000}"/>
    <cellStyle name="Normale 101 3 3 3" xfId="438" xr:uid="{00000000-0005-0000-0000-000006010000}"/>
    <cellStyle name="Normale 101 3 3 4" xfId="328" xr:uid="{00000000-0005-0000-0000-000007010000}"/>
    <cellStyle name="Normale 101 3 4" xfId="376" xr:uid="{00000000-0005-0000-0000-000008010000}"/>
    <cellStyle name="Normale 101 3 5" xfId="426" xr:uid="{00000000-0005-0000-0000-000009010000}"/>
    <cellStyle name="Normale 101 3 6" xfId="316" xr:uid="{00000000-0005-0000-0000-00000A010000}"/>
    <cellStyle name="Normale 101 4" xfId="183" xr:uid="{00000000-0005-0000-0000-00000B010000}"/>
    <cellStyle name="Normale 101 4 2" xfId="290" xr:uid="{00000000-0005-0000-0000-00000C010000}"/>
    <cellStyle name="Normale 101 4 2 2" xfId="403" xr:uid="{00000000-0005-0000-0000-00000D010000}"/>
    <cellStyle name="Normale 101 4 2 3" xfId="453" xr:uid="{00000000-0005-0000-0000-00000E010000}"/>
    <cellStyle name="Normale 101 4 2 4" xfId="343" xr:uid="{00000000-0005-0000-0000-00000F010000}"/>
    <cellStyle name="Normale 101 4 3" xfId="277" xr:uid="{00000000-0005-0000-0000-000010010000}"/>
    <cellStyle name="Normale 101 4 3 2" xfId="391" xr:uid="{00000000-0005-0000-0000-000011010000}"/>
    <cellStyle name="Normale 101 4 3 3" xfId="441" xr:uid="{00000000-0005-0000-0000-000012010000}"/>
    <cellStyle name="Normale 101 4 3 4" xfId="331" xr:uid="{00000000-0005-0000-0000-000013010000}"/>
    <cellStyle name="Normale 101 4 4" xfId="379" xr:uid="{00000000-0005-0000-0000-000014010000}"/>
    <cellStyle name="Normale 101 4 5" xfId="429" xr:uid="{00000000-0005-0000-0000-000015010000}"/>
    <cellStyle name="Normale 101 4 6" xfId="319" xr:uid="{00000000-0005-0000-0000-000016010000}"/>
    <cellStyle name="Normale 101 5" xfId="297" xr:uid="{00000000-0005-0000-0000-000017010000}"/>
    <cellStyle name="Normale 101 5 2" xfId="407" xr:uid="{00000000-0005-0000-0000-000018010000}"/>
    <cellStyle name="Normale 101 5 3" xfId="457" xr:uid="{00000000-0005-0000-0000-000019010000}"/>
    <cellStyle name="Normale 101 5 4" xfId="347" xr:uid="{00000000-0005-0000-0000-00001A010000}"/>
    <cellStyle name="Normale 101 6" xfId="281" xr:uid="{00000000-0005-0000-0000-00001B010000}"/>
    <cellStyle name="Normale 101 6 2" xfId="394" xr:uid="{00000000-0005-0000-0000-00001C010000}"/>
    <cellStyle name="Normale 101 6 3" xfId="444" xr:uid="{00000000-0005-0000-0000-00001D010000}"/>
    <cellStyle name="Normale 101 6 4" xfId="334" xr:uid="{00000000-0005-0000-0000-00001E010000}"/>
    <cellStyle name="Normale 101 7" xfId="268" xr:uid="{00000000-0005-0000-0000-00001F010000}"/>
    <cellStyle name="Normale 101 7 2" xfId="382" xr:uid="{00000000-0005-0000-0000-000020010000}"/>
    <cellStyle name="Normale 101 7 3" xfId="432" xr:uid="{00000000-0005-0000-0000-000021010000}"/>
    <cellStyle name="Normale 101 7 4" xfId="322" xr:uid="{00000000-0005-0000-0000-000022010000}"/>
    <cellStyle name="Normale 101 8" xfId="366" xr:uid="{00000000-0005-0000-0000-000023010000}"/>
    <cellStyle name="Normale 101 9" xfId="416" xr:uid="{00000000-0005-0000-0000-000024010000}"/>
    <cellStyle name="Normale 2" xfId="3" xr:uid="{00000000-0005-0000-0000-000025010000}"/>
    <cellStyle name="Normale 2 2" xfId="4" xr:uid="{00000000-0005-0000-0000-000026010000}"/>
    <cellStyle name="Normale 2 2 2" xfId="358" xr:uid="{00000000-0005-0000-0000-000027010000}"/>
    <cellStyle name="Normale 2 2 3" xfId="359" xr:uid="{00000000-0005-0000-0000-000028010000}"/>
    <cellStyle name="Normale 2 3" xfId="360" xr:uid="{00000000-0005-0000-0000-000029010000}"/>
    <cellStyle name="Normale 2 4" xfId="361" xr:uid="{00000000-0005-0000-0000-00002A010000}"/>
    <cellStyle name="Normale 26" xfId="87" xr:uid="{00000000-0005-0000-0000-00002B010000}"/>
    <cellStyle name="Normale 26 10" xfId="311" xr:uid="{00000000-0005-0000-0000-00002C010000}"/>
    <cellStyle name="Normale 26 2" xfId="170" xr:uid="{00000000-0005-0000-0000-00002D010000}"/>
    <cellStyle name="Normale 26 2 2" xfId="298" xr:uid="{00000000-0005-0000-0000-00002E010000}"/>
    <cellStyle name="Normale 26 2 2 2" xfId="408" xr:uid="{00000000-0005-0000-0000-00002F010000}"/>
    <cellStyle name="Normale 26 2 2 3" xfId="458" xr:uid="{00000000-0005-0000-0000-000030010000}"/>
    <cellStyle name="Normale 26 2 2 4" xfId="348" xr:uid="{00000000-0005-0000-0000-000031010000}"/>
    <cellStyle name="Normale 26 2 3" xfId="285" xr:uid="{00000000-0005-0000-0000-000032010000}"/>
    <cellStyle name="Normale 26 2 3 2" xfId="398" xr:uid="{00000000-0005-0000-0000-000033010000}"/>
    <cellStyle name="Normale 26 2 3 3" xfId="448" xr:uid="{00000000-0005-0000-0000-000034010000}"/>
    <cellStyle name="Normale 26 2 3 4" xfId="338" xr:uid="{00000000-0005-0000-0000-000035010000}"/>
    <cellStyle name="Normale 26 2 4" xfId="272" xr:uid="{00000000-0005-0000-0000-000036010000}"/>
    <cellStyle name="Normale 26 2 4 2" xfId="386" xr:uid="{00000000-0005-0000-0000-000037010000}"/>
    <cellStyle name="Normale 26 2 4 3" xfId="436" xr:uid="{00000000-0005-0000-0000-000038010000}"/>
    <cellStyle name="Normale 26 2 4 4" xfId="326" xr:uid="{00000000-0005-0000-0000-000039010000}"/>
    <cellStyle name="Normale 26 2 5" xfId="374" xr:uid="{00000000-0005-0000-0000-00003A010000}"/>
    <cellStyle name="Normale 26 2 6" xfId="424" xr:uid="{00000000-0005-0000-0000-00003B010000}"/>
    <cellStyle name="Normale 26 2 7" xfId="314" xr:uid="{00000000-0005-0000-0000-00003C010000}"/>
    <cellStyle name="Normale 26 3" xfId="181" xr:uid="{00000000-0005-0000-0000-00003D010000}"/>
    <cellStyle name="Normale 26 3 2" xfId="288" xr:uid="{00000000-0005-0000-0000-00003E010000}"/>
    <cellStyle name="Normale 26 3 2 2" xfId="401" xr:uid="{00000000-0005-0000-0000-00003F010000}"/>
    <cellStyle name="Normale 26 3 2 3" xfId="451" xr:uid="{00000000-0005-0000-0000-000040010000}"/>
    <cellStyle name="Normale 26 3 2 4" xfId="341" xr:uid="{00000000-0005-0000-0000-000041010000}"/>
    <cellStyle name="Normale 26 3 3" xfId="275" xr:uid="{00000000-0005-0000-0000-000042010000}"/>
    <cellStyle name="Normale 26 3 3 2" xfId="389" xr:uid="{00000000-0005-0000-0000-000043010000}"/>
    <cellStyle name="Normale 26 3 3 3" xfId="439" xr:uid="{00000000-0005-0000-0000-000044010000}"/>
    <cellStyle name="Normale 26 3 3 4" xfId="329" xr:uid="{00000000-0005-0000-0000-000045010000}"/>
    <cellStyle name="Normale 26 3 4" xfId="377" xr:uid="{00000000-0005-0000-0000-000046010000}"/>
    <cellStyle name="Normale 26 3 5" xfId="427" xr:uid="{00000000-0005-0000-0000-000047010000}"/>
    <cellStyle name="Normale 26 3 6" xfId="317" xr:uid="{00000000-0005-0000-0000-000048010000}"/>
    <cellStyle name="Normale 26 4" xfId="184" xr:uid="{00000000-0005-0000-0000-000049010000}"/>
    <cellStyle name="Normale 26 4 2" xfId="291" xr:uid="{00000000-0005-0000-0000-00004A010000}"/>
    <cellStyle name="Normale 26 4 2 2" xfId="404" xr:uid="{00000000-0005-0000-0000-00004B010000}"/>
    <cellStyle name="Normale 26 4 2 3" xfId="454" xr:uid="{00000000-0005-0000-0000-00004C010000}"/>
    <cellStyle name="Normale 26 4 2 4" xfId="344" xr:uid="{00000000-0005-0000-0000-00004D010000}"/>
    <cellStyle name="Normale 26 4 3" xfId="278" xr:uid="{00000000-0005-0000-0000-00004E010000}"/>
    <cellStyle name="Normale 26 4 3 2" xfId="392" xr:uid="{00000000-0005-0000-0000-00004F010000}"/>
    <cellStyle name="Normale 26 4 3 3" xfId="442" xr:uid="{00000000-0005-0000-0000-000050010000}"/>
    <cellStyle name="Normale 26 4 3 4" xfId="332" xr:uid="{00000000-0005-0000-0000-000051010000}"/>
    <cellStyle name="Normale 26 4 4" xfId="380" xr:uid="{00000000-0005-0000-0000-000052010000}"/>
    <cellStyle name="Normale 26 4 5" xfId="430" xr:uid="{00000000-0005-0000-0000-000053010000}"/>
    <cellStyle name="Normale 26 4 6" xfId="320" xr:uid="{00000000-0005-0000-0000-000054010000}"/>
    <cellStyle name="Normale 26 5" xfId="299" xr:uid="{00000000-0005-0000-0000-000055010000}"/>
    <cellStyle name="Normale 26 5 2" xfId="409" xr:uid="{00000000-0005-0000-0000-000056010000}"/>
    <cellStyle name="Normale 26 5 3" xfId="459" xr:uid="{00000000-0005-0000-0000-000057010000}"/>
    <cellStyle name="Normale 26 5 4" xfId="349" xr:uid="{00000000-0005-0000-0000-000058010000}"/>
    <cellStyle name="Normale 26 6" xfId="282" xr:uid="{00000000-0005-0000-0000-000059010000}"/>
    <cellStyle name="Normale 26 6 2" xfId="395" xr:uid="{00000000-0005-0000-0000-00005A010000}"/>
    <cellStyle name="Normale 26 6 3" xfId="445" xr:uid="{00000000-0005-0000-0000-00005B010000}"/>
    <cellStyle name="Normale 26 6 4" xfId="335" xr:uid="{00000000-0005-0000-0000-00005C010000}"/>
    <cellStyle name="Normale 26 7" xfId="269" xr:uid="{00000000-0005-0000-0000-00005D010000}"/>
    <cellStyle name="Normale 26 7 2" xfId="383" xr:uid="{00000000-0005-0000-0000-00005E010000}"/>
    <cellStyle name="Normale 26 7 3" xfId="433" xr:uid="{00000000-0005-0000-0000-00005F010000}"/>
    <cellStyle name="Normale 26 7 4" xfId="323" xr:uid="{00000000-0005-0000-0000-000060010000}"/>
    <cellStyle name="Normale 26 8" xfId="367" xr:uid="{00000000-0005-0000-0000-000061010000}"/>
    <cellStyle name="Normale 26 9" xfId="417" xr:uid="{00000000-0005-0000-0000-000062010000}"/>
    <cellStyle name="Normale 3" xfId="88" xr:uid="{00000000-0005-0000-0000-000063010000}"/>
    <cellStyle name="Normale 3 2" xfId="171" xr:uid="{00000000-0005-0000-0000-000064010000}"/>
    <cellStyle name="Normale 4" xfId="89" xr:uid="{00000000-0005-0000-0000-000065010000}"/>
    <cellStyle name="Normale 4 2" xfId="172" xr:uid="{00000000-0005-0000-0000-000066010000}"/>
    <cellStyle name="Normale 56" xfId="90" xr:uid="{00000000-0005-0000-0000-000067010000}"/>
    <cellStyle name="Normale 56 10" xfId="312" xr:uid="{00000000-0005-0000-0000-000068010000}"/>
    <cellStyle name="Normale 56 2" xfId="173" xr:uid="{00000000-0005-0000-0000-000069010000}"/>
    <cellStyle name="Normale 56 2 2" xfId="300" xr:uid="{00000000-0005-0000-0000-00006A010000}"/>
    <cellStyle name="Normale 56 2 2 2" xfId="410" xr:uid="{00000000-0005-0000-0000-00006B010000}"/>
    <cellStyle name="Normale 56 2 2 3" xfId="460" xr:uid="{00000000-0005-0000-0000-00006C010000}"/>
    <cellStyle name="Normale 56 2 2 4" xfId="350" xr:uid="{00000000-0005-0000-0000-00006D010000}"/>
    <cellStyle name="Normale 56 2 3" xfId="286" xr:uid="{00000000-0005-0000-0000-00006E010000}"/>
    <cellStyle name="Normale 56 2 3 2" xfId="399" xr:uid="{00000000-0005-0000-0000-00006F010000}"/>
    <cellStyle name="Normale 56 2 3 3" xfId="449" xr:uid="{00000000-0005-0000-0000-000070010000}"/>
    <cellStyle name="Normale 56 2 3 4" xfId="339" xr:uid="{00000000-0005-0000-0000-000071010000}"/>
    <cellStyle name="Normale 56 2 4" xfId="273" xr:uid="{00000000-0005-0000-0000-000072010000}"/>
    <cellStyle name="Normale 56 2 4 2" xfId="387" xr:uid="{00000000-0005-0000-0000-000073010000}"/>
    <cellStyle name="Normale 56 2 4 3" xfId="437" xr:uid="{00000000-0005-0000-0000-000074010000}"/>
    <cellStyle name="Normale 56 2 4 4" xfId="327" xr:uid="{00000000-0005-0000-0000-000075010000}"/>
    <cellStyle name="Normale 56 2 5" xfId="375" xr:uid="{00000000-0005-0000-0000-000076010000}"/>
    <cellStyle name="Normale 56 2 6" xfId="425" xr:uid="{00000000-0005-0000-0000-000077010000}"/>
    <cellStyle name="Normale 56 2 7" xfId="315" xr:uid="{00000000-0005-0000-0000-000078010000}"/>
    <cellStyle name="Normale 56 3" xfId="182" xr:uid="{00000000-0005-0000-0000-000079010000}"/>
    <cellStyle name="Normale 56 3 2" xfId="289" xr:uid="{00000000-0005-0000-0000-00007A010000}"/>
    <cellStyle name="Normale 56 3 2 2" xfId="402" xr:uid="{00000000-0005-0000-0000-00007B010000}"/>
    <cellStyle name="Normale 56 3 2 3" xfId="452" xr:uid="{00000000-0005-0000-0000-00007C010000}"/>
    <cellStyle name="Normale 56 3 2 4" xfId="342" xr:uid="{00000000-0005-0000-0000-00007D010000}"/>
    <cellStyle name="Normale 56 3 3" xfId="276" xr:uid="{00000000-0005-0000-0000-00007E010000}"/>
    <cellStyle name="Normale 56 3 3 2" xfId="390" xr:uid="{00000000-0005-0000-0000-00007F010000}"/>
    <cellStyle name="Normale 56 3 3 3" xfId="440" xr:uid="{00000000-0005-0000-0000-000080010000}"/>
    <cellStyle name="Normale 56 3 3 4" xfId="330" xr:uid="{00000000-0005-0000-0000-000081010000}"/>
    <cellStyle name="Normale 56 3 4" xfId="378" xr:uid="{00000000-0005-0000-0000-000082010000}"/>
    <cellStyle name="Normale 56 3 5" xfId="428" xr:uid="{00000000-0005-0000-0000-000083010000}"/>
    <cellStyle name="Normale 56 3 6" xfId="318" xr:uid="{00000000-0005-0000-0000-000084010000}"/>
    <cellStyle name="Normale 56 4" xfId="185" xr:uid="{00000000-0005-0000-0000-000085010000}"/>
    <cellStyle name="Normale 56 4 2" xfId="292" xr:uid="{00000000-0005-0000-0000-000086010000}"/>
    <cellStyle name="Normale 56 4 2 2" xfId="405" xr:uid="{00000000-0005-0000-0000-000087010000}"/>
    <cellStyle name="Normale 56 4 2 3" xfId="455" xr:uid="{00000000-0005-0000-0000-000088010000}"/>
    <cellStyle name="Normale 56 4 2 4" xfId="345" xr:uid="{00000000-0005-0000-0000-000089010000}"/>
    <cellStyle name="Normale 56 4 3" xfId="279" xr:uid="{00000000-0005-0000-0000-00008A010000}"/>
    <cellStyle name="Normale 56 4 3 2" xfId="393" xr:uid="{00000000-0005-0000-0000-00008B010000}"/>
    <cellStyle name="Normale 56 4 3 3" xfId="443" xr:uid="{00000000-0005-0000-0000-00008C010000}"/>
    <cellStyle name="Normale 56 4 3 4" xfId="333" xr:uid="{00000000-0005-0000-0000-00008D010000}"/>
    <cellStyle name="Normale 56 4 4" xfId="381" xr:uid="{00000000-0005-0000-0000-00008E010000}"/>
    <cellStyle name="Normale 56 4 5" xfId="431" xr:uid="{00000000-0005-0000-0000-00008F010000}"/>
    <cellStyle name="Normale 56 4 6" xfId="321" xr:uid="{00000000-0005-0000-0000-000090010000}"/>
    <cellStyle name="Normale 56 5" xfId="301" xr:uid="{00000000-0005-0000-0000-000091010000}"/>
    <cellStyle name="Normale 56 5 2" xfId="411" xr:uid="{00000000-0005-0000-0000-000092010000}"/>
    <cellStyle name="Normale 56 5 3" xfId="461" xr:uid="{00000000-0005-0000-0000-000093010000}"/>
    <cellStyle name="Normale 56 5 4" xfId="351" xr:uid="{00000000-0005-0000-0000-000094010000}"/>
    <cellStyle name="Normale 56 6" xfId="283" xr:uid="{00000000-0005-0000-0000-000095010000}"/>
    <cellStyle name="Normale 56 6 2" xfId="396" xr:uid="{00000000-0005-0000-0000-000096010000}"/>
    <cellStyle name="Normale 56 6 3" xfId="446" xr:uid="{00000000-0005-0000-0000-000097010000}"/>
    <cellStyle name="Normale 56 6 4" xfId="336" xr:uid="{00000000-0005-0000-0000-000098010000}"/>
    <cellStyle name="Normale 56 7" xfId="270" xr:uid="{00000000-0005-0000-0000-000099010000}"/>
    <cellStyle name="Normale 56 7 2" xfId="384" xr:uid="{00000000-0005-0000-0000-00009A010000}"/>
    <cellStyle name="Normale 56 7 3" xfId="434" xr:uid="{00000000-0005-0000-0000-00009B010000}"/>
    <cellStyle name="Normale 56 7 4" xfId="324" xr:uid="{00000000-0005-0000-0000-00009C010000}"/>
    <cellStyle name="Normale 56 8" xfId="368" xr:uid="{00000000-0005-0000-0000-00009D010000}"/>
    <cellStyle name="Normale 56 9" xfId="418" xr:uid="{00000000-0005-0000-0000-00009E010000}"/>
    <cellStyle name="Normale 6" xfId="91" xr:uid="{00000000-0005-0000-0000-00009F010000}"/>
    <cellStyle name="Normale 6 2" xfId="174" xr:uid="{00000000-0005-0000-0000-0000A0010000}"/>
    <cellStyle name="Normale 7" xfId="92" xr:uid="{00000000-0005-0000-0000-0000A1010000}"/>
    <cellStyle name="Normale 7 2" xfId="175" xr:uid="{00000000-0005-0000-0000-0000A2010000}"/>
    <cellStyle name="Normale 8" xfId="93" xr:uid="{00000000-0005-0000-0000-0000A3010000}"/>
    <cellStyle name="Normale 8 2" xfId="176" xr:uid="{00000000-0005-0000-0000-0000A4010000}"/>
    <cellStyle name="Normale 9" xfId="94" xr:uid="{00000000-0005-0000-0000-0000A5010000}"/>
    <cellStyle name="Normale 9 2" xfId="177" xr:uid="{00000000-0005-0000-0000-0000A6010000}"/>
    <cellStyle name="per.style" xfId="95" xr:uid="{00000000-0005-0000-0000-0000A7010000}"/>
    <cellStyle name="Percent ()" xfId="96" xr:uid="{00000000-0005-0000-0000-0000A8010000}"/>
    <cellStyle name="Percent (0)" xfId="97" xr:uid="{00000000-0005-0000-0000-0000A9010000}"/>
    <cellStyle name="Percent (1)" xfId="98" xr:uid="{00000000-0005-0000-0000-0000AA010000}"/>
    <cellStyle name="Percent [2]" xfId="99" xr:uid="{00000000-0005-0000-0000-0000AB010000}"/>
    <cellStyle name="Percent [2] 2" xfId="100" xr:uid="{00000000-0005-0000-0000-0000AC010000}"/>
    <cellStyle name="Percent [2] 2 2" xfId="178" xr:uid="{00000000-0005-0000-0000-0000AD010000}"/>
    <cellStyle name="Percent 1" xfId="101" xr:uid="{00000000-0005-0000-0000-0000AE010000}"/>
    <cellStyle name="Percent 2" xfId="102" xr:uid="{00000000-0005-0000-0000-0000AF010000}"/>
    <cellStyle name="RAMEY" xfId="103" xr:uid="{00000000-0005-0000-0000-0000B0010000}"/>
    <cellStyle name="Ramey $k" xfId="104" xr:uid="{00000000-0005-0000-0000-0000B1010000}"/>
    <cellStyle name="RAMEY_~9879534" xfId="105" xr:uid="{00000000-0005-0000-0000-0000B2010000}"/>
    <cellStyle name="regstoresfromspecstores" xfId="106" xr:uid="{00000000-0005-0000-0000-0000B3010000}"/>
    <cellStyle name="RevList" xfId="107" xr:uid="{00000000-0005-0000-0000-0000B4010000}"/>
    <cellStyle name="Shaded" xfId="108" xr:uid="{00000000-0005-0000-0000-0000B5010000}"/>
    <cellStyle name="SHADEDSTORES" xfId="109" xr:uid="{00000000-0005-0000-0000-0000B6010000}"/>
    <cellStyle name="SHADEDSTORES 2" xfId="369" xr:uid="{00000000-0005-0000-0000-0000B7010000}"/>
    <cellStyle name="SHADEDSTORES 3" xfId="419" xr:uid="{00000000-0005-0000-0000-0000B8010000}"/>
    <cellStyle name="specstores" xfId="110" xr:uid="{00000000-0005-0000-0000-0000B9010000}"/>
    <cellStyle name="Standard_KP Deckblatt" xfId="111" xr:uid="{00000000-0005-0000-0000-0000BA010000}"/>
    <cellStyle name="Subtotal" xfId="112" xr:uid="{00000000-0005-0000-0000-0000BB010000}"/>
    <cellStyle name="Sum" xfId="113" xr:uid="{00000000-0005-0000-0000-0000BC010000}"/>
    <cellStyle name="Sum %of HV" xfId="114" xr:uid="{00000000-0005-0000-0000-0000BD010000}"/>
    <cellStyle name="Thousands (0)" xfId="115" xr:uid="{00000000-0005-0000-0000-0000BE010000}"/>
    <cellStyle name="Thousands (1)" xfId="116" xr:uid="{00000000-0005-0000-0000-0000BF010000}"/>
    <cellStyle name="time" xfId="117" xr:uid="{00000000-0005-0000-0000-0000C0010000}"/>
    <cellStyle name="Total 2" xfId="118" xr:uid="{00000000-0005-0000-0000-0000C1010000}"/>
    <cellStyle name="Total 2 2" xfId="370" xr:uid="{00000000-0005-0000-0000-0000C2010000}"/>
    <cellStyle name="Total 2 3" xfId="420" xr:uid="{00000000-0005-0000-0000-0000C3010000}"/>
    <cellStyle name="Underline 2" xfId="119" xr:uid="{00000000-0005-0000-0000-0000C4010000}"/>
    <cellStyle name="Valuta (0)_30111_0" xfId="120" xr:uid="{00000000-0005-0000-0000-0000C5010000}"/>
    <cellStyle name="Währung [0]_PP3 2YO spares is-0" xfId="121" xr:uid="{00000000-0005-0000-0000-0000C6010000}"/>
    <cellStyle name="Währung_PP3 2YO spares is-0" xfId="122" xr:uid="{00000000-0005-0000-0000-0000C7010000}"/>
    <cellStyle name="Year" xfId="123" xr:uid="{00000000-0005-0000-0000-0000C8010000}"/>
    <cellStyle name="Year 2" xfId="124" xr:uid="{00000000-0005-0000-0000-0000C9010000}"/>
    <cellStyle name="Year 2 2" xfId="372" xr:uid="{00000000-0005-0000-0000-0000CA010000}"/>
    <cellStyle name="Year 2 3" xfId="422" xr:uid="{00000000-0005-0000-0000-0000CB010000}"/>
    <cellStyle name="Year 3" xfId="371" xr:uid="{00000000-0005-0000-0000-0000CC010000}"/>
    <cellStyle name="Year 4" xfId="421" xr:uid="{00000000-0005-0000-0000-0000CD010000}"/>
  </cellStyles>
  <dxfs count="9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8585"/>
      <color rgb="FFFFFFCC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w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1</xdr:row>
      <xdr:rowOff>34373</xdr:rowOff>
    </xdr:from>
    <xdr:to>
      <xdr:col>3</xdr:col>
      <xdr:colOff>219075</xdr:colOff>
      <xdr:row>5</xdr:row>
      <xdr:rowOff>148673</xdr:rowOff>
    </xdr:to>
    <xdr:pic>
      <xdr:nvPicPr>
        <xdr:cNvPr id="2" name="Immagine 5" descr="SEID_NUOVO_Pieno.gif">
          <a:extLst>
            <a:ext uri="{FF2B5EF4-FFF2-40B4-BE49-F238E27FC236}">
              <a16:creationId xmlns:a16="http://schemas.microsoft.com/office/drawing/2014/main" id="{77058783-8F82-47FE-8921-5B8FB56F2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96298"/>
          <a:ext cx="13525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76200</xdr:colOff>
      <xdr:row>0</xdr:row>
      <xdr:rowOff>152400</xdr:rowOff>
    </xdr:from>
    <xdr:to>
      <xdr:col>12</xdr:col>
      <xdr:colOff>571500</xdr:colOff>
      <xdr:row>5</xdr:row>
      <xdr:rowOff>150784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69BC75-E336-42D2-BBBD-1BC7D3E41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152400"/>
          <a:ext cx="495300" cy="6651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pSp>
      <xdr:nvGrpSpPr>
        <xdr:cNvPr id="65504" name="Group 1">
          <a:extLst>
            <a:ext uri="{FF2B5EF4-FFF2-40B4-BE49-F238E27FC236}">
              <a16:creationId xmlns:a16="http://schemas.microsoft.com/office/drawing/2014/main" id="{00000000-0008-0000-0100-0000E0FF0000}"/>
            </a:ext>
          </a:extLst>
        </xdr:cNvPr>
        <xdr:cNvGrpSpPr>
          <a:grpSpLocks/>
        </xdr:cNvGrpSpPr>
      </xdr:nvGrpSpPr>
      <xdr:grpSpPr bwMode="auto">
        <a:xfrm>
          <a:off x="0" y="0"/>
          <a:ext cx="0" cy="0"/>
          <a:chOff x="5" y="87"/>
          <a:chExt cx="173" cy="52"/>
        </a:xfrm>
      </xdr:grpSpPr>
      <xdr:pic>
        <xdr:nvPicPr>
          <xdr:cNvPr id="65516" name="Picture 2">
            <a:extLst>
              <a:ext uri="{FF2B5EF4-FFF2-40B4-BE49-F238E27FC236}">
                <a16:creationId xmlns:a16="http://schemas.microsoft.com/office/drawing/2014/main" id="{00000000-0008-0000-0100-0000ECFF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5" y="92"/>
            <a:ext cx="51" cy="4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41987" name="Text Box 3">
            <a:extLst>
              <a:ext uri="{FF2B5EF4-FFF2-40B4-BE49-F238E27FC236}">
                <a16:creationId xmlns:a16="http://schemas.microsoft.com/office/drawing/2014/main" id="{00000000-0008-0000-0100-000003A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0" y="0"/>
            <a:ext cx="0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it-IT" sz="1200" b="0" i="0" strike="noStrike">
                <a:solidFill>
                  <a:srgbClr val="000000"/>
                </a:solidFill>
                <a:latin typeface="Eni 2"/>
              </a:rPr>
              <a:t>ENI Iran B.V</a:t>
            </a:r>
          </a:p>
          <a:p>
            <a:pPr algn="l" rtl="0">
              <a:defRPr sz="1000"/>
            </a:pPr>
            <a:endParaRPr lang="it-IT" sz="1200" b="0" i="0" strike="noStrike">
              <a:solidFill>
                <a:srgbClr val="000000"/>
              </a:solidFill>
              <a:latin typeface="Eni 2"/>
            </a:endParaRPr>
          </a:p>
          <a:p>
            <a:pPr algn="l" rtl="0">
              <a:defRPr sz="1000"/>
            </a:pPr>
            <a:r>
              <a:rPr lang="it-IT" sz="1200" b="0" i="0" strike="noStrike">
                <a:solidFill>
                  <a:srgbClr val="000000"/>
                </a:solidFill>
                <a:latin typeface="Eni 2"/>
              </a:rPr>
              <a:t>NICO</a:t>
            </a:r>
          </a:p>
          <a:p>
            <a:pPr algn="l" rtl="0">
              <a:defRPr sz="1000"/>
            </a:pPr>
            <a:endParaRPr lang="it-IT" sz="1200" b="0" i="0" strike="noStrike">
              <a:solidFill>
                <a:srgbClr val="000000"/>
              </a:solidFill>
              <a:latin typeface="Eni 2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pSp>
      <xdr:nvGrpSpPr>
        <xdr:cNvPr id="65505" name="Group 4">
          <a:extLst>
            <a:ext uri="{FF2B5EF4-FFF2-40B4-BE49-F238E27FC236}">
              <a16:creationId xmlns:a16="http://schemas.microsoft.com/office/drawing/2014/main" id="{00000000-0008-0000-0100-0000E1FF0000}"/>
            </a:ext>
          </a:extLst>
        </xdr:cNvPr>
        <xdr:cNvGrpSpPr>
          <a:grpSpLocks/>
        </xdr:cNvGrpSpPr>
      </xdr:nvGrpSpPr>
      <xdr:grpSpPr bwMode="auto">
        <a:xfrm>
          <a:off x="0" y="0"/>
          <a:ext cx="0" cy="0"/>
          <a:chOff x="411" y="2"/>
          <a:chExt cx="72" cy="74"/>
        </a:xfrm>
      </xdr:grpSpPr>
      <xdr:pic>
        <xdr:nvPicPr>
          <xdr:cNvPr id="65514" name="Picture 5">
            <a:extLst>
              <a:ext uri="{FF2B5EF4-FFF2-40B4-BE49-F238E27FC236}">
                <a16:creationId xmlns:a16="http://schemas.microsoft.com/office/drawing/2014/main" id="{00000000-0008-0000-0100-0000EAFF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/>
          <a:stretch>
            <a:fillRect/>
          </a:stretch>
        </xdr:blipFill>
        <xdr:spPr bwMode="auto">
          <a:xfrm>
            <a:off x="412" y="2"/>
            <a:ext cx="69" cy="5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41990" name="Text Box 6">
            <a:extLst>
              <a:ext uri="{FF2B5EF4-FFF2-40B4-BE49-F238E27FC236}">
                <a16:creationId xmlns:a16="http://schemas.microsoft.com/office/drawing/2014/main" id="{00000000-0008-0000-0100-000006A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0" y="0"/>
            <a:ext cx="0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it-IT" sz="900" b="0" i="0" strike="noStrike">
                <a:solidFill>
                  <a:srgbClr val="000000"/>
                </a:solidFill>
                <a:latin typeface="Arial"/>
                <a:cs typeface="Arial"/>
              </a:rPr>
              <a:t>P E D E C</a:t>
            </a:r>
          </a:p>
          <a:p>
            <a:pPr algn="ctr" rtl="0">
              <a:defRPr sz="1000"/>
            </a:pPr>
            <a:endParaRPr lang="it-IT" sz="9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12</xdr:col>
      <xdr:colOff>66675</xdr:colOff>
      <xdr:row>0</xdr:row>
      <xdr:rowOff>0</xdr:rowOff>
    </xdr:from>
    <xdr:to>
      <xdr:col>22</xdr:col>
      <xdr:colOff>38100</xdr:colOff>
      <xdr:row>0</xdr:row>
      <xdr:rowOff>0</xdr:rowOff>
    </xdr:to>
    <xdr:pic>
      <xdr:nvPicPr>
        <xdr:cNvPr id="65506" name="Picture 7">
          <a:extLst>
            <a:ext uri="{FF2B5EF4-FFF2-40B4-BE49-F238E27FC236}">
              <a16:creationId xmlns:a16="http://schemas.microsoft.com/office/drawing/2014/main" id="{00000000-0008-0000-0100-0000E2F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238375" y="0"/>
          <a:ext cx="1781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171450</xdr:colOff>
      <xdr:row>0</xdr:row>
      <xdr:rowOff>0</xdr:rowOff>
    </xdr:to>
    <xdr:pic>
      <xdr:nvPicPr>
        <xdr:cNvPr id="65507" name="Picture 8" descr="Logotcm">
          <a:extLst>
            <a:ext uri="{FF2B5EF4-FFF2-40B4-BE49-F238E27FC236}">
              <a16:creationId xmlns:a16="http://schemas.microsoft.com/office/drawing/2014/main" id="{00000000-0008-0000-0100-0000E3F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0"/>
          <a:ext cx="23431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38100</xdr:colOff>
      <xdr:row>0</xdr:row>
      <xdr:rowOff>0</xdr:rowOff>
    </xdr:to>
    <xdr:pic>
      <xdr:nvPicPr>
        <xdr:cNvPr id="65508" name="Picture 9">
          <a:extLst>
            <a:ext uri="{FF2B5EF4-FFF2-40B4-BE49-F238E27FC236}">
              <a16:creationId xmlns:a16="http://schemas.microsoft.com/office/drawing/2014/main" id="{00000000-0008-0000-0100-0000E4F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0" y="0"/>
          <a:ext cx="11239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5509" name="Picture 10" descr="Logotcm">
          <a:extLst>
            <a:ext uri="{FF2B5EF4-FFF2-40B4-BE49-F238E27FC236}">
              <a16:creationId xmlns:a16="http://schemas.microsoft.com/office/drawing/2014/main" id="{00000000-0008-0000-0100-0000E5F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133350</xdr:colOff>
      <xdr:row>0</xdr:row>
      <xdr:rowOff>0</xdr:rowOff>
    </xdr:to>
    <xdr:sp macro="" textlink="">
      <xdr:nvSpPr>
        <xdr:cNvPr id="65510" name="Rectangle 11">
          <a:extLst>
            <a:ext uri="{FF2B5EF4-FFF2-40B4-BE49-F238E27FC236}">
              <a16:creationId xmlns:a16="http://schemas.microsoft.com/office/drawing/2014/main" id="{00000000-0008-0000-0100-0000E6FF0000}"/>
            </a:ext>
          </a:extLst>
        </xdr:cNvPr>
        <xdr:cNvSpPr>
          <a:spLocks noChangeArrowheads="1"/>
        </xdr:cNvSpPr>
      </xdr:nvSpPr>
      <xdr:spPr bwMode="auto">
        <a:xfrm>
          <a:off x="409575" y="0"/>
          <a:ext cx="85725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0</xdr:row>
      <xdr:rowOff>0</xdr:rowOff>
    </xdr:from>
    <xdr:to>
      <xdr:col>9</xdr:col>
      <xdr:colOff>133350</xdr:colOff>
      <xdr:row>0</xdr:row>
      <xdr:rowOff>0</xdr:rowOff>
    </xdr:to>
    <xdr:sp macro="" textlink="">
      <xdr:nvSpPr>
        <xdr:cNvPr id="65511" name="Rectangle 12">
          <a:extLst>
            <a:ext uri="{FF2B5EF4-FFF2-40B4-BE49-F238E27FC236}">
              <a16:creationId xmlns:a16="http://schemas.microsoft.com/office/drawing/2014/main" id="{00000000-0008-0000-0100-0000E7FF0000}"/>
            </a:ext>
          </a:extLst>
        </xdr:cNvPr>
        <xdr:cNvSpPr>
          <a:spLocks noChangeArrowheads="1"/>
        </xdr:cNvSpPr>
      </xdr:nvSpPr>
      <xdr:spPr bwMode="auto">
        <a:xfrm>
          <a:off x="1676400" y="0"/>
          <a:ext cx="85725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47625</xdr:colOff>
      <xdr:row>0</xdr:row>
      <xdr:rowOff>0</xdr:rowOff>
    </xdr:from>
    <xdr:to>
      <xdr:col>14</xdr:col>
      <xdr:colOff>133350</xdr:colOff>
      <xdr:row>0</xdr:row>
      <xdr:rowOff>0</xdr:rowOff>
    </xdr:to>
    <xdr:sp macro="" textlink="">
      <xdr:nvSpPr>
        <xdr:cNvPr id="65512" name="Rectangle 13">
          <a:extLst>
            <a:ext uri="{FF2B5EF4-FFF2-40B4-BE49-F238E27FC236}">
              <a16:creationId xmlns:a16="http://schemas.microsoft.com/office/drawing/2014/main" id="{00000000-0008-0000-0100-0000E8FF0000}"/>
            </a:ext>
          </a:extLst>
        </xdr:cNvPr>
        <xdr:cNvSpPr>
          <a:spLocks noChangeArrowheads="1"/>
        </xdr:cNvSpPr>
      </xdr:nvSpPr>
      <xdr:spPr bwMode="auto">
        <a:xfrm>
          <a:off x="2581275" y="0"/>
          <a:ext cx="85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47625</xdr:colOff>
      <xdr:row>0</xdr:row>
      <xdr:rowOff>0</xdr:rowOff>
    </xdr:from>
    <xdr:to>
      <xdr:col>19</xdr:col>
      <xdr:colOff>133350</xdr:colOff>
      <xdr:row>0</xdr:row>
      <xdr:rowOff>0</xdr:rowOff>
    </xdr:to>
    <xdr:sp macro="" textlink="">
      <xdr:nvSpPr>
        <xdr:cNvPr id="65513" name="Rectangle 14">
          <a:extLst>
            <a:ext uri="{FF2B5EF4-FFF2-40B4-BE49-F238E27FC236}">
              <a16:creationId xmlns:a16="http://schemas.microsoft.com/office/drawing/2014/main" id="{00000000-0008-0000-0100-0000E9FF0000}"/>
            </a:ext>
          </a:extLst>
        </xdr:cNvPr>
        <xdr:cNvSpPr>
          <a:spLocks noChangeArrowheads="1"/>
        </xdr:cNvSpPr>
      </xdr:nvSpPr>
      <xdr:spPr bwMode="auto">
        <a:xfrm>
          <a:off x="3486150" y="0"/>
          <a:ext cx="85725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0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3FDBC10-4777-41C2-8481-9E1777E3A536}"/>
            </a:ext>
          </a:extLst>
        </xdr:cNvPr>
        <xdr:cNvGrpSpPr>
          <a:grpSpLocks/>
        </xdr:cNvGrpSpPr>
      </xdr:nvGrpSpPr>
      <xdr:grpSpPr bwMode="auto">
        <a:xfrm>
          <a:off x="0" y="0"/>
          <a:ext cx="3371850" cy="0"/>
          <a:chOff x="5" y="87"/>
          <a:chExt cx="173" cy="5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E42B50F6-D50B-489F-907E-DAFEFF8C7DB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5" y="92"/>
            <a:ext cx="51" cy="4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B5E23D24-C1F1-4B5D-99C1-9AAB6A42F1FF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89045883450" y="0"/>
            <a:ext cx="0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it-IT" sz="1200" b="0" i="0" strike="noStrike">
                <a:solidFill>
                  <a:srgbClr val="000000"/>
                </a:solidFill>
                <a:latin typeface="Eni 2"/>
              </a:rPr>
              <a:t>ENI Iran B.V</a:t>
            </a:r>
          </a:p>
          <a:p>
            <a:pPr algn="l" rtl="0">
              <a:defRPr sz="1000"/>
            </a:pPr>
            <a:endParaRPr lang="it-IT" sz="1200" b="0" i="0" strike="noStrike">
              <a:solidFill>
                <a:srgbClr val="000000"/>
              </a:solidFill>
              <a:latin typeface="Eni 2"/>
            </a:endParaRPr>
          </a:p>
          <a:p>
            <a:pPr algn="l" rtl="0">
              <a:defRPr sz="1000"/>
            </a:pPr>
            <a:r>
              <a:rPr lang="it-IT" sz="1200" b="0" i="0" strike="noStrike">
                <a:solidFill>
                  <a:srgbClr val="000000"/>
                </a:solidFill>
                <a:latin typeface="Eni 2"/>
              </a:rPr>
              <a:t>NICO</a:t>
            </a:r>
          </a:p>
          <a:p>
            <a:pPr algn="l" rtl="0">
              <a:defRPr sz="1000"/>
            </a:pPr>
            <a:endParaRPr lang="it-IT" sz="1200" b="0" i="0" strike="noStrike">
              <a:solidFill>
                <a:srgbClr val="000000"/>
              </a:solidFill>
              <a:latin typeface="Eni 2"/>
            </a:endParaRPr>
          </a:p>
        </xdr:txBody>
      </xdr:sp>
    </xdr:grpSp>
    <xdr:clientData/>
  </xdr:twoCellAnchor>
  <xdr:twoCellAnchor>
    <xdr:from>
      <xdr:col>10</xdr:col>
      <xdr:colOff>0</xdr:colOff>
      <xdr:row>0</xdr:row>
      <xdr:rowOff>0</xdr:rowOff>
    </xdr:from>
    <xdr:to>
      <xdr:col>10</xdr:col>
      <xdr:colOff>0</xdr:colOff>
      <xdr:row>0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7EF6FAB-37E3-4F53-A42A-3167B6C6B1F3}"/>
            </a:ext>
          </a:extLst>
        </xdr:cNvPr>
        <xdr:cNvGrpSpPr>
          <a:grpSpLocks/>
        </xdr:cNvGrpSpPr>
      </xdr:nvGrpSpPr>
      <xdr:grpSpPr bwMode="auto">
        <a:xfrm>
          <a:off x="9629775" y="0"/>
          <a:ext cx="0" cy="0"/>
          <a:chOff x="411" y="2"/>
          <a:chExt cx="72" cy="7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DEA0FEFD-CEF5-4CBC-A44D-8B71267A0A2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/>
          <a:stretch>
            <a:fillRect/>
          </a:stretch>
        </xdr:blipFill>
        <xdr:spPr bwMode="auto">
          <a:xfrm>
            <a:off x="412" y="2"/>
            <a:ext cx="69" cy="5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7" name="Text Box 6">
            <a:extLst>
              <a:ext uri="{FF2B5EF4-FFF2-40B4-BE49-F238E27FC236}">
                <a16:creationId xmlns:a16="http://schemas.microsoft.com/office/drawing/2014/main" id="{4CDE8249-6EA7-4BA4-BD1A-E17E0A36D9DD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412511364361" y="0"/>
            <a:ext cx="72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it-IT" sz="900" b="0" i="0" strike="noStrike">
                <a:solidFill>
                  <a:srgbClr val="000000"/>
                </a:solidFill>
                <a:latin typeface="Arial"/>
                <a:cs typeface="Arial"/>
              </a:rPr>
              <a:t>P E D E C</a:t>
            </a:r>
          </a:p>
          <a:p>
            <a:pPr algn="ctr" rtl="0">
              <a:defRPr sz="1000"/>
            </a:pPr>
            <a:endParaRPr lang="it-IT" sz="9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6588E-83C6-4B9B-AE56-5D12EF6BBA5E}">
  <sheetPr>
    <pageSetUpPr fitToPage="1"/>
  </sheetPr>
  <dimension ref="A1:P34"/>
  <sheetViews>
    <sheetView view="pageBreakPreview" zoomScaleNormal="100" zoomScaleSheetLayoutView="100" workbookViewId="0">
      <selection activeCell="F38" sqref="F38"/>
    </sheetView>
  </sheetViews>
  <sheetFormatPr defaultColWidth="8.85546875" defaultRowHeight="12.75"/>
  <cols>
    <col min="1" max="2" width="8.85546875" style="73"/>
    <col min="3" max="3" width="5.42578125" style="73" customWidth="1"/>
    <col min="4" max="4" width="10.42578125" style="73" customWidth="1"/>
    <col min="5" max="5" width="10" style="73" customWidth="1"/>
    <col min="6" max="6" width="8.85546875" style="73"/>
    <col min="7" max="7" width="9" style="73" customWidth="1"/>
    <col min="8" max="8" width="8.85546875" style="73" customWidth="1"/>
    <col min="9" max="11" width="8.85546875" style="73"/>
    <col min="12" max="12" width="10" style="73" customWidth="1"/>
    <col min="13" max="258" width="8.85546875" style="73"/>
    <col min="259" max="259" width="5.42578125" style="73" customWidth="1"/>
    <col min="260" max="260" width="10.42578125" style="73" customWidth="1"/>
    <col min="261" max="261" width="10" style="73" customWidth="1"/>
    <col min="262" max="262" width="8.85546875" style="73"/>
    <col min="263" max="263" width="9" style="73" customWidth="1"/>
    <col min="264" max="267" width="8.85546875" style="73"/>
    <col min="268" max="268" width="10" style="73" customWidth="1"/>
    <col min="269" max="514" width="8.85546875" style="73"/>
    <col min="515" max="515" width="5.42578125" style="73" customWidth="1"/>
    <col min="516" max="516" width="10.42578125" style="73" customWidth="1"/>
    <col min="517" max="517" width="10" style="73" customWidth="1"/>
    <col min="518" max="518" width="8.85546875" style="73"/>
    <col min="519" max="519" width="9" style="73" customWidth="1"/>
    <col min="520" max="523" width="8.85546875" style="73"/>
    <col min="524" max="524" width="10" style="73" customWidth="1"/>
    <col min="525" max="770" width="8.85546875" style="73"/>
    <col min="771" max="771" width="5.42578125" style="73" customWidth="1"/>
    <col min="772" max="772" width="10.42578125" style="73" customWidth="1"/>
    <col min="773" max="773" width="10" style="73" customWidth="1"/>
    <col min="774" max="774" width="8.85546875" style="73"/>
    <col min="775" max="775" width="9" style="73" customWidth="1"/>
    <col min="776" max="779" width="8.85546875" style="73"/>
    <col min="780" max="780" width="10" style="73" customWidth="1"/>
    <col min="781" max="1026" width="8.85546875" style="73"/>
    <col min="1027" max="1027" width="5.42578125" style="73" customWidth="1"/>
    <col min="1028" max="1028" width="10.42578125" style="73" customWidth="1"/>
    <col min="1029" max="1029" width="10" style="73" customWidth="1"/>
    <col min="1030" max="1030" width="8.85546875" style="73"/>
    <col min="1031" max="1031" width="9" style="73" customWidth="1"/>
    <col min="1032" max="1035" width="8.85546875" style="73"/>
    <col min="1036" max="1036" width="10" style="73" customWidth="1"/>
    <col min="1037" max="1282" width="8.85546875" style="73"/>
    <col min="1283" max="1283" width="5.42578125" style="73" customWidth="1"/>
    <col min="1284" max="1284" width="10.42578125" style="73" customWidth="1"/>
    <col min="1285" max="1285" width="10" style="73" customWidth="1"/>
    <col min="1286" max="1286" width="8.85546875" style="73"/>
    <col min="1287" max="1287" width="9" style="73" customWidth="1"/>
    <col min="1288" max="1291" width="8.85546875" style="73"/>
    <col min="1292" max="1292" width="10" style="73" customWidth="1"/>
    <col min="1293" max="1538" width="8.85546875" style="73"/>
    <col min="1539" max="1539" width="5.42578125" style="73" customWidth="1"/>
    <col min="1540" max="1540" width="10.42578125" style="73" customWidth="1"/>
    <col min="1541" max="1541" width="10" style="73" customWidth="1"/>
    <col min="1542" max="1542" width="8.85546875" style="73"/>
    <col min="1543" max="1543" width="9" style="73" customWidth="1"/>
    <col min="1544" max="1547" width="8.85546875" style="73"/>
    <col min="1548" max="1548" width="10" style="73" customWidth="1"/>
    <col min="1549" max="1794" width="8.85546875" style="73"/>
    <col min="1795" max="1795" width="5.42578125" style="73" customWidth="1"/>
    <col min="1796" max="1796" width="10.42578125" style="73" customWidth="1"/>
    <col min="1797" max="1797" width="10" style="73" customWidth="1"/>
    <col min="1798" max="1798" width="8.85546875" style="73"/>
    <col min="1799" max="1799" width="9" style="73" customWidth="1"/>
    <col min="1800" max="1803" width="8.85546875" style="73"/>
    <col min="1804" max="1804" width="10" style="73" customWidth="1"/>
    <col min="1805" max="2050" width="8.85546875" style="73"/>
    <col min="2051" max="2051" width="5.42578125" style="73" customWidth="1"/>
    <col min="2052" max="2052" width="10.42578125" style="73" customWidth="1"/>
    <col min="2053" max="2053" width="10" style="73" customWidth="1"/>
    <col min="2054" max="2054" width="8.85546875" style="73"/>
    <col min="2055" max="2055" width="9" style="73" customWidth="1"/>
    <col min="2056" max="2059" width="8.85546875" style="73"/>
    <col min="2060" max="2060" width="10" style="73" customWidth="1"/>
    <col min="2061" max="2306" width="8.85546875" style="73"/>
    <col min="2307" max="2307" width="5.42578125" style="73" customWidth="1"/>
    <col min="2308" max="2308" width="10.42578125" style="73" customWidth="1"/>
    <col min="2309" max="2309" width="10" style="73" customWidth="1"/>
    <col min="2310" max="2310" width="8.85546875" style="73"/>
    <col min="2311" max="2311" width="9" style="73" customWidth="1"/>
    <col min="2312" max="2315" width="8.85546875" style="73"/>
    <col min="2316" max="2316" width="10" style="73" customWidth="1"/>
    <col min="2317" max="2562" width="8.85546875" style="73"/>
    <col min="2563" max="2563" width="5.42578125" style="73" customWidth="1"/>
    <col min="2564" max="2564" width="10.42578125" style="73" customWidth="1"/>
    <col min="2565" max="2565" width="10" style="73" customWidth="1"/>
    <col min="2566" max="2566" width="8.85546875" style="73"/>
    <col min="2567" max="2567" width="9" style="73" customWidth="1"/>
    <col min="2568" max="2571" width="8.85546875" style="73"/>
    <col min="2572" max="2572" width="10" style="73" customWidth="1"/>
    <col min="2573" max="2818" width="8.85546875" style="73"/>
    <col min="2819" max="2819" width="5.42578125" style="73" customWidth="1"/>
    <col min="2820" max="2820" width="10.42578125" style="73" customWidth="1"/>
    <col min="2821" max="2821" width="10" style="73" customWidth="1"/>
    <col min="2822" max="2822" width="8.85546875" style="73"/>
    <col min="2823" max="2823" width="9" style="73" customWidth="1"/>
    <col min="2824" max="2827" width="8.85546875" style="73"/>
    <col min="2828" max="2828" width="10" style="73" customWidth="1"/>
    <col min="2829" max="3074" width="8.85546875" style="73"/>
    <col min="3075" max="3075" width="5.42578125" style="73" customWidth="1"/>
    <col min="3076" max="3076" width="10.42578125" style="73" customWidth="1"/>
    <col min="3077" max="3077" width="10" style="73" customWidth="1"/>
    <col min="3078" max="3078" width="8.85546875" style="73"/>
    <col min="3079" max="3079" width="9" style="73" customWidth="1"/>
    <col min="3080" max="3083" width="8.85546875" style="73"/>
    <col min="3084" max="3084" width="10" style="73" customWidth="1"/>
    <col min="3085" max="3330" width="8.85546875" style="73"/>
    <col min="3331" max="3331" width="5.42578125" style="73" customWidth="1"/>
    <col min="3332" max="3332" width="10.42578125" style="73" customWidth="1"/>
    <col min="3333" max="3333" width="10" style="73" customWidth="1"/>
    <col min="3334" max="3334" width="8.85546875" style="73"/>
    <col min="3335" max="3335" width="9" style="73" customWidth="1"/>
    <col min="3336" max="3339" width="8.85546875" style="73"/>
    <col min="3340" max="3340" width="10" style="73" customWidth="1"/>
    <col min="3341" max="3586" width="8.85546875" style="73"/>
    <col min="3587" max="3587" width="5.42578125" style="73" customWidth="1"/>
    <col min="3588" max="3588" width="10.42578125" style="73" customWidth="1"/>
    <col min="3589" max="3589" width="10" style="73" customWidth="1"/>
    <col min="3590" max="3590" width="8.85546875" style="73"/>
    <col min="3591" max="3591" width="9" style="73" customWidth="1"/>
    <col min="3592" max="3595" width="8.85546875" style="73"/>
    <col min="3596" max="3596" width="10" style="73" customWidth="1"/>
    <col min="3597" max="3842" width="8.85546875" style="73"/>
    <col min="3843" max="3843" width="5.42578125" style="73" customWidth="1"/>
    <col min="3844" max="3844" width="10.42578125" style="73" customWidth="1"/>
    <col min="3845" max="3845" width="10" style="73" customWidth="1"/>
    <col min="3846" max="3846" width="8.85546875" style="73"/>
    <col min="3847" max="3847" width="9" style="73" customWidth="1"/>
    <col min="3848" max="3851" width="8.85546875" style="73"/>
    <col min="3852" max="3852" width="10" style="73" customWidth="1"/>
    <col min="3853" max="4098" width="8.85546875" style="73"/>
    <col min="4099" max="4099" width="5.42578125" style="73" customWidth="1"/>
    <col min="4100" max="4100" width="10.42578125" style="73" customWidth="1"/>
    <col min="4101" max="4101" width="10" style="73" customWidth="1"/>
    <col min="4102" max="4102" width="8.85546875" style="73"/>
    <col min="4103" max="4103" width="9" style="73" customWidth="1"/>
    <col min="4104" max="4107" width="8.85546875" style="73"/>
    <col min="4108" max="4108" width="10" style="73" customWidth="1"/>
    <col min="4109" max="4354" width="8.85546875" style="73"/>
    <col min="4355" max="4355" width="5.42578125" style="73" customWidth="1"/>
    <col min="4356" max="4356" width="10.42578125" style="73" customWidth="1"/>
    <col min="4357" max="4357" width="10" style="73" customWidth="1"/>
    <col min="4358" max="4358" width="8.85546875" style="73"/>
    <col min="4359" max="4359" width="9" style="73" customWidth="1"/>
    <col min="4360" max="4363" width="8.85546875" style="73"/>
    <col min="4364" max="4364" width="10" style="73" customWidth="1"/>
    <col min="4365" max="4610" width="8.85546875" style="73"/>
    <col min="4611" max="4611" width="5.42578125" style="73" customWidth="1"/>
    <col min="4612" max="4612" width="10.42578125" style="73" customWidth="1"/>
    <col min="4613" max="4613" width="10" style="73" customWidth="1"/>
    <col min="4614" max="4614" width="8.85546875" style="73"/>
    <col min="4615" max="4615" width="9" style="73" customWidth="1"/>
    <col min="4616" max="4619" width="8.85546875" style="73"/>
    <col min="4620" max="4620" width="10" style="73" customWidth="1"/>
    <col min="4621" max="4866" width="8.85546875" style="73"/>
    <col min="4867" max="4867" width="5.42578125" style="73" customWidth="1"/>
    <col min="4868" max="4868" width="10.42578125" style="73" customWidth="1"/>
    <col min="4869" max="4869" width="10" style="73" customWidth="1"/>
    <col min="4870" max="4870" width="8.85546875" style="73"/>
    <col min="4871" max="4871" width="9" style="73" customWidth="1"/>
    <col min="4872" max="4875" width="8.85546875" style="73"/>
    <col min="4876" max="4876" width="10" style="73" customWidth="1"/>
    <col min="4877" max="5122" width="8.85546875" style="73"/>
    <col min="5123" max="5123" width="5.42578125" style="73" customWidth="1"/>
    <col min="5124" max="5124" width="10.42578125" style="73" customWidth="1"/>
    <col min="5125" max="5125" width="10" style="73" customWidth="1"/>
    <col min="5126" max="5126" width="8.85546875" style="73"/>
    <col min="5127" max="5127" width="9" style="73" customWidth="1"/>
    <col min="5128" max="5131" width="8.85546875" style="73"/>
    <col min="5132" max="5132" width="10" style="73" customWidth="1"/>
    <col min="5133" max="5378" width="8.85546875" style="73"/>
    <col min="5379" max="5379" width="5.42578125" style="73" customWidth="1"/>
    <col min="5380" max="5380" width="10.42578125" style="73" customWidth="1"/>
    <col min="5381" max="5381" width="10" style="73" customWidth="1"/>
    <col min="5382" max="5382" width="8.85546875" style="73"/>
    <col min="5383" max="5383" width="9" style="73" customWidth="1"/>
    <col min="5384" max="5387" width="8.85546875" style="73"/>
    <col min="5388" max="5388" width="10" style="73" customWidth="1"/>
    <col min="5389" max="5634" width="8.85546875" style="73"/>
    <col min="5635" max="5635" width="5.42578125" style="73" customWidth="1"/>
    <col min="5636" max="5636" width="10.42578125" style="73" customWidth="1"/>
    <col min="5637" max="5637" width="10" style="73" customWidth="1"/>
    <col min="5638" max="5638" width="8.85546875" style="73"/>
    <col min="5639" max="5639" width="9" style="73" customWidth="1"/>
    <col min="5640" max="5643" width="8.85546875" style="73"/>
    <col min="5644" max="5644" width="10" style="73" customWidth="1"/>
    <col min="5645" max="5890" width="8.85546875" style="73"/>
    <col min="5891" max="5891" width="5.42578125" style="73" customWidth="1"/>
    <col min="5892" max="5892" width="10.42578125" style="73" customWidth="1"/>
    <col min="5893" max="5893" width="10" style="73" customWidth="1"/>
    <col min="5894" max="5894" width="8.85546875" style="73"/>
    <col min="5895" max="5895" width="9" style="73" customWidth="1"/>
    <col min="5896" max="5899" width="8.85546875" style="73"/>
    <col min="5900" max="5900" width="10" style="73" customWidth="1"/>
    <col min="5901" max="6146" width="8.85546875" style="73"/>
    <col min="6147" max="6147" width="5.42578125" style="73" customWidth="1"/>
    <col min="6148" max="6148" width="10.42578125" style="73" customWidth="1"/>
    <col min="6149" max="6149" width="10" style="73" customWidth="1"/>
    <col min="6150" max="6150" width="8.85546875" style="73"/>
    <col min="6151" max="6151" width="9" style="73" customWidth="1"/>
    <col min="6152" max="6155" width="8.85546875" style="73"/>
    <col min="6156" max="6156" width="10" style="73" customWidth="1"/>
    <col min="6157" max="6402" width="8.85546875" style="73"/>
    <col min="6403" max="6403" width="5.42578125" style="73" customWidth="1"/>
    <col min="6404" max="6404" width="10.42578125" style="73" customWidth="1"/>
    <col min="6405" max="6405" width="10" style="73" customWidth="1"/>
    <col min="6406" max="6406" width="8.85546875" style="73"/>
    <col min="6407" max="6407" width="9" style="73" customWidth="1"/>
    <col min="6408" max="6411" width="8.85546875" style="73"/>
    <col min="6412" max="6412" width="10" style="73" customWidth="1"/>
    <col min="6413" max="6658" width="8.85546875" style="73"/>
    <col min="6659" max="6659" width="5.42578125" style="73" customWidth="1"/>
    <col min="6660" max="6660" width="10.42578125" style="73" customWidth="1"/>
    <col min="6661" max="6661" width="10" style="73" customWidth="1"/>
    <col min="6662" max="6662" width="8.85546875" style="73"/>
    <col min="6663" max="6663" width="9" style="73" customWidth="1"/>
    <col min="6664" max="6667" width="8.85546875" style="73"/>
    <col min="6668" max="6668" width="10" style="73" customWidth="1"/>
    <col min="6669" max="6914" width="8.85546875" style="73"/>
    <col min="6915" max="6915" width="5.42578125" style="73" customWidth="1"/>
    <col min="6916" max="6916" width="10.42578125" style="73" customWidth="1"/>
    <col min="6917" max="6917" width="10" style="73" customWidth="1"/>
    <col min="6918" max="6918" width="8.85546875" style="73"/>
    <col min="6919" max="6919" width="9" style="73" customWidth="1"/>
    <col min="6920" max="6923" width="8.85546875" style="73"/>
    <col min="6924" max="6924" width="10" style="73" customWidth="1"/>
    <col min="6925" max="7170" width="8.85546875" style="73"/>
    <col min="7171" max="7171" width="5.42578125" style="73" customWidth="1"/>
    <col min="7172" max="7172" width="10.42578125" style="73" customWidth="1"/>
    <col min="7173" max="7173" width="10" style="73" customWidth="1"/>
    <col min="7174" max="7174" width="8.85546875" style="73"/>
    <col min="7175" max="7175" width="9" style="73" customWidth="1"/>
    <col min="7176" max="7179" width="8.85546875" style="73"/>
    <col min="7180" max="7180" width="10" style="73" customWidth="1"/>
    <col min="7181" max="7426" width="8.85546875" style="73"/>
    <col min="7427" max="7427" width="5.42578125" style="73" customWidth="1"/>
    <col min="7428" max="7428" width="10.42578125" style="73" customWidth="1"/>
    <col min="7429" max="7429" width="10" style="73" customWidth="1"/>
    <col min="7430" max="7430" width="8.85546875" style="73"/>
    <col min="7431" max="7431" width="9" style="73" customWidth="1"/>
    <col min="7432" max="7435" width="8.85546875" style="73"/>
    <col min="7436" max="7436" width="10" style="73" customWidth="1"/>
    <col min="7437" max="7682" width="8.85546875" style="73"/>
    <col min="7683" max="7683" width="5.42578125" style="73" customWidth="1"/>
    <col min="7684" max="7684" width="10.42578125" style="73" customWidth="1"/>
    <col min="7685" max="7685" width="10" style="73" customWidth="1"/>
    <col min="7686" max="7686" width="8.85546875" style="73"/>
    <col min="7687" max="7687" width="9" style="73" customWidth="1"/>
    <col min="7688" max="7691" width="8.85546875" style="73"/>
    <col min="7692" max="7692" width="10" style="73" customWidth="1"/>
    <col min="7693" max="7938" width="8.85546875" style="73"/>
    <col min="7939" max="7939" width="5.42578125" style="73" customWidth="1"/>
    <col min="7940" max="7940" width="10.42578125" style="73" customWidth="1"/>
    <col min="7941" max="7941" width="10" style="73" customWidth="1"/>
    <col min="7942" max="7942" width="8.85546875" style="73"/>
    <col min="7943" max="7943" width="9" style="73" customWidth="1"/>
    <col min="7944" max="7947" width="8.85546875" style="73"/>
    <col min="7948" max="7948" width="10" style="73" customWidth="1"/>
    <col min="7949" max="8194" width="8.85546875" style="73"/>
    <col min="8195" max="8195" width="5.42578125" style="73" customWidth="1"/>
    <col min="8196" max="8196" width="10.42578125" style="73" customWidth="1"/>
    <col min="8197" max="8197" width="10" style="73" customWidth="1"/>
    <col min="8198" max="8198" width="8.85546875" style="73"/>
    <col min="8199" max="8199" width="9" style="73" customWidth="1"/>
    <col min="8200" max="8203" width="8.85546875" style="73"/>
    <col min="8204" max="8204" width="10" style="73" customWidth="1"/>
    <col min="8205" max="8450" width="8.85546875" style="73"/>
    <col min="8451" max="8451" width="5.42578125" style="73" customWidth="1"/>
    <col min="8452" max="8452" width="10.42578125" style="73" customWidth="1"/>
    <col min="8453" max="8453" width="10" style="73" customWidth="1"/>
    <col min="8454" max="8454" width="8.85546875" style="73"/>
    <col min="8455" max="8455" width="9" style="73" customWidth="1"/>
    <col min="8456" max="8459" width="8.85546875" style="73"/>
    <col min="8460" max="8460" width="10" style="73" customWidth="1"/>
    <col min="8461" max="8706" width="8.85546875" style="73"/>
    <col min="8707" max="8707" width="5.42578125" style="73" customWidth="1"/>
    <col min="8708" max="8708" width="10.42578125" style="73" customWidth="1"/>
    <col min="8709" max="8709" width="10" style="73" customWidth="1"/>
    <col min="8710" max="8710" width="8.85546875" style="73"/>
    <col min="8711" max="8711" width="9" style="73" customWidth="1"/>
    <col min="8712" max="8715" width="8.85546875" style="73"/>
    <col min="8716" max="8716" width="10" style="73" customWidth="1"/>
    <col min="8717" max="8962" width="8.85546875" style="73"/>
    <col min="8963" max="8963" width="5.42578125" style="73" customWidth="1"/>
    <col min="8964" max="8964" width="10.42578125" style="73" customWidth="1"/>
    <col min="8965" max="8965" width="10" style="73" customWidth="1"/>
    <col min="8966" max="8966" width="8.85546875" style="73"/>
    <col min="8967" max="8967" width="9" style="73" customWidth="1"/>
    <col min="8968" max="8971" width="8.85546875" style="73"/>
    <col min="8972" max="8972" width="10" style="73" customWidth="1"/>
    <col min="8973" max="9218" width="8.85546875" style="73"/>
    <col min="9219" max="9219" width="5.42578125" style="73" customWidth="1"/>
    <col min="9220" max="9220" width="10.42578125" style="73" customWidth="1"/>
    <col min="9221" max="9221" width="10" style="73" customWidth="1"/>
    <col min="9222" max="9222" width="8.85546875" style="73"/>
    <col min="9223" max="9223" width="9" style="73" customWidth="1"/>
    <col min="9224" max="9227" width="8.85546875" style="73"/>
    <col min="9228" max="9228" width="10" style="73" customWidth="1"/>
    <col min="9229" max="9474" width="8.85546875" style="73"/>
    <col min="9475" max="9475" width="5.42578125" style="73" customWidth="1"/>
    <col min="9476" max="9476" width="10.42578125" style="73" customWidth="1"/>
    <col min="9477" max="9477" width="10" style="73" customWidth="1"/>
    <col min="9478" max="9478" width="8.85546875" style="73"/>
    <col min="9479" max="9479" width="9" style="73" customWidth="1"/>
    <col min="9480" max="9483" width="8.85546875" style="73"/>
    <col min="9484" max="9484" width="10" style="73" customWidth="1"/>
    <col min="9485" max="9730" width="8.85546875" style="73"/>
    <col min="9731" max="9731" width="5.42578125" style="73" customWidth="1"/>
    <col min="9732" max="9732" width="10.42578125" style="73" customWidth="1"/>
    <col min="9733" max="9733" width="10" style="73" customWidth="1"/>
    <col min="9734" max="9734" width="8.85546875" style="73"/>
    <col min="9735" max="9735" width="9" style="73" customWidth="1"/>
    <col min="9736" max="9739" width="8.85546875" style="73"/>
    <col min="9740" max="9740" width="10" style="73" customWidth="1"/>
    <col min="9741" max="9986" width="8.85546875" style="73"/>
    <col min="9987" max="9987" width="5.42578125" style="73" customWidth="1"/>
    <col min="9988" max="9988" width="10.42578125" style="73" customWidth="1"/>
    <col min="9989" max="9989" width="10" style="73" customWidth="1"/>
    <col min="9990" max="9990" width="8.85546875" style="73"/>
    <col min="9991" max="9991" width="9" style="73" customWidth="1"/>
    <col min="9992" max="9995" width="8.85546875" style="73"/>
    <col min="9996" max="9996" width="10" style="73" customWidth="1"/>
    <col min="9997" max="10242" width="8.85546875" style="73"/>
    <col min="10243" max="10243" width="5.42578125" style="73" customWidth="1"/>
    <col min="10244" max="10244" width="10.42578125" style="73" customWidth="1"/>
    <col min="10245" max="10245" width="10" style="73" customWidth="1"/>
    <col min="10246" max="10246" width="8.85546875" style="73"/>
    <col min="10247" max="10247" width="9" style="73" customWidth="1"/>
    <col min="10248" max="10251" width="8.85546875" style="73"/>
    <col min="10252" max="10252" width="10" style="73" customWidth="1"/>
    <col min="10253" max="10498" width="8.85546875" style="73"/>
    <col min="10499" max="10499" width="5.42578125" style="73" customWidth="1"/>
    <col min="10500" max="10500" width="10.42578125" style="73" customWidth="1"/>
    <col min="10501" max="10501" width="10" style="73" customWidth="1"/>
    <col min="10502" max="10502" width="8.85546875" style="73"/>
    <col min="10503" max="10503" width="9" style="73" customWidth="1"/>
    <col min="10504" max="10507" width="8.85546875" style="73"/>
    <col min="10508" max="10508" width="10" style="73" customWidth="1"/>
    <col min="10509" max="10754" width="8.85546875" style="73"/>
    <col min="10755" max="10755" width="5.42578125" style="73" customWidth="1"/>
    <col min="10756" max="10756" width="10.42578125" style="73" customWidth="1"/>
    <col min="10757" max="10757" width="10" style="73" customWidth="1"/>
    <col min="10758" max="10758" width="8.85546875" style="73"/>
    <col min="10759" max="10759" width="9" style="73" customWidth="1"/>
    <col min="10760" max="10763" width="8.85546875" style="73"/>
    <col min="10764" max="10764" width="10" style="73" customWidth="1"/>
    <col min="10765" max="11010" width="8.85546875" style="73"/>
    <col min="11011" max="11011" width="5.42578125" style="73" customWidth="1"/>
    <col min="11012" max="11012" width="10.42578125" style="73" customWidth="1"/>
    <col min="11013" max="11013" width="10" style="73" customWidth="1"/>
    <col min="11014" max="11014" width="8.85546875" style="73"/>
    <col min="11015" max="11015" width="9" style="73" customWidth="1"/>
    <col min="11016" max="11019" width="8.85546875" style="73"/>
    <col min="11020" max="11020" width="10" style="73" customWidth="1"/>
    <col min="11021" max="11266" width="8.85546875" style="73"/>
    <col min="11267" max="11267" width="5.42578125" style="73" customWidth="1"/>
    <col min="11268" max="11268" width="10.42578125" style="73" customWidth="1"/>
    <col min="11269" max="11269" width="10" style="73" customWidth="1"/>
    <col min="11270" max="11270" width="8.85546875" style="73"/>
    <col min="11271" max="11271" width="9" style="73" customWidth="1"/>
    <col min="11272" max="11275" width="8.85546875" style="73"/>
    <col min="11276" max="11276" width="10" style="73" customWidth="1"/>
    <col min="11277" max="11522" width="8.85546875" style="73"/>
    <col min="11523" max="11523" width="5.42578125" style="73" customWidth="1"/>
    <col min="11524" max="11524" width="10.42578125" style="73" customWidth="1"/>
    <col min="11525" max="11525" width="10" style="73" customWidth="1"/>
    <col min="11526" max="11526" width="8.85546875" style="73"/>
    <col min="11527" max="11527" width="9" style="73" customWidth="1"/>
    <col min="11528" max="11531" width="8.85546875" style="73"/>
    <col min="11532" max="11532" width="10" style="73" customWidth="1"/>
    <col min="11533" max="11778" width="8.85546875" style="73"/>
    <col min="11779" max="11779" width="5.42578125" style="73" customWidth="1"/>
    <col min="11780" max="11780" width="10.42578125" style="73" customWidth="1"/>
    <col min="11781" max="11781" width="10" style="73" customWidth="1"/>
    <col min="11782" max="11782" width="8.85546875" style="73"/>
    <col min="11783" max="11783" width="9" style="73" customWidth="1"/>
    <col min="11784" max="11787" width="8.85546875" style="73"/>
    <col min="11788" max="11788" width="10" style="73" customWidth="1"/>
    <col min="11789" max="12034" width="8.85546875" style="73"/>
    <col min="12035" max="12035" width="5.42578125" style="73" customWidth="1"/>
    <col min="12036" max="12036" width="10.42578125" style="73" customWidth="1"/>
    <col min="12037" max="12037" width="10" style="73" customWidth="1"/>
    <col min="12038" max="12038" width="8.85546875" style="73"/>
    <col min="12039" max="12039" width="9" style="73" customWidth="1"/>
    <col min="12040" max="12043" width="8.85546875" style="73"/>
    <col min="12044" max="12044" width="10" style="73" customWidth="1"/>
    <col min="12045" max="12290" width="8.85546875" style="73"/>
    <col min="12291" max="12291" width="5.42578125" style="73" customWidth="1"/>
    <col min="12292" max="12292" width="10.42578125" style="73" customWidth="1"/>
    <col min="12293" max="12293" width="10" style="73" customWidth="1"/>
    <col min="12294" max="12294" width="8.85546875" style="73"/>
    <col min="12295" max="12295" width="9" style="73" customWidth="1"/>
    <col min="12296" max="12299" width="8.85546875" style="73"/>
    <col min="12300" max="12300" width="10" style="73" customWidth="1"/>
    <col min="12301" max="12546" width="8.85546875" style="73"/>
    <col min="12547" max="12547" width="5.42578125" style="73" customWidth="1"/>
    <col min="12548" max="12548" width="10.42578125" style="73" customWidth="1"/>
    <col min="12549" max="12549" width="10" style="73" customWidth="1"/>
    <col min="12550" max="12550" width="8.85546875" style="73"/>
    <col min="12551" max="12551" width="9" style="73" customWidth="1"/>
    <col min="12552" max="12555" width="8.85546875" style="73"/>
    <col min="12556" max="12556" width="10" style="73" customWidth="1"/>
    <col min="12557" max="12802" width="8.85546875" style="73"/>
    <col min="12803" max="12803" width="5.42578125" style="73" customWidth="1"/>
    <col min="12804" max="12804" width="10.42578125" style="73" customWidth="1"/>
    <col min="12805" max="12805" width="10" style="73" customWidth="1"/>
    <col min="12806" max="12806" width="8.85546875" style="73"/>
    <col min="12807" max="12807" width="9" style="73" customWidth="1"/>
    <col min="12808" max="12811" width="8.85546875" style="73"/>
    <col min="12812" max="12812" width="10" style="73" customWidth="1"/>
    <col min="12813" max="13058" width="8.85546875" style="73"/>
    <col min="13059" max="13059" width="5.42578125" style="73" customWidth="1"/>
    <col min="13060" max="13060" width="10.42578125" style="73" customWidth="1"/>
    <col min="13061" max="13061" width="10" style="73" customWidth="1"/>
    <col min="13062" max="13062" width="8.85546875" style="73"/>
    <col min="13063" max="13063" width="9" style="73" customWidth="1"/>
    <col min="13064" max="13067" width="8.85546875" style="73"/>
    <col min="13068" max="13068" width="10" style="73" customWidth="1"/>
    <col min="13069" max="13314" width="8.85546875" style="73"/>
    <col min="13315" max="13315" width="5.42578125" style="73" customWidth="1"/>
    <col min="13316" max="13316" width="10.42578125" style="73" customWidth="1"/>
    <col min="13317" max="13317" width="10" style="73" customWidth="1"/>
    <col min="13318" max="13318" width="8.85546875" style="73"/>
    <col min="13319" max="13319" width="9" style="73" customWidth="1"/>
    <col min="13320" max="13323" width="8.85546875" style="73"/>
    <col min="13324" max="13324" width="10" style="73" customWidth="1"/>
    <col min="13325" max="13570" width="8.85546875" style="73"/>
    <col min="13571" max="13571" width="5.42578125" style="73" customWidth="1"/>
    <col min="13572" max="13572" width="10.42578125" style="73" customWidth="1"/>
    <col min="13573" max="13573" width="10" style="73" customWidth="1"/>
    <col min="13574" max="13574" width="8.85546875" style="73"/>
    <col min="13575" max="13575" width="9" style="73" customWidth="1"/>
    <col min="13576" max="13579" width="8.85546875" style="73"/>
    <col min="13580" max="13580" width="10" style="73" customWidth="1"/>
    <col min="13581" max="13826" width="8.85546875" style="73"/>
    <col min="13827" max="13827" width="5.42578125" style="73" customWidth="1"/>
    <col min="13828" max="13828" width="10.42578125" style="73" customWidth="1"/>
    <col min="13829" max="13829" width="10" style="73" customWidth="1"/>
    <col min="13830" max="13830" width="8.85546875" style="73"/>
    <col min="13831" max="13831" width="9" style="73" customWidth="1"/>
    <col min="13832" max="13835" width="8.85546875" style="73"/>
    <col min="13836" max="13836" width="10" style="73" customWidth="1"/>
    <col min="13837" max="14082" width="8.85546875" style="73"/>
    <col min="14083" max="14083" width="5.42578125" style="73" customWidth="1"/>
    <col min="14084" max="14084" width="10.42578125" style="73" customWidth="1"/>
    <col min="14085" max="14085" width="10" style="73" customWidth="1"/>
    <col min="14086" max="14086" width="8.85546875" style="73"/>
    <col min="14087" max="14087" width="9" style="73" customWidth="1"/>
    <col min="14088" max="14091" width="8.85546875" style="73"/>
    <col min="14092" max="14092" width="10" style="73" customWidth="1"/>
    <col min="14093" max="14338" width="8.85546875" style="73"/>
    <col min="14339" max="14339" width="5.42578125" style="73" customWidth="1"/>
    <col min="14340" max="14340" width="10.42578125" style="73" customWidth="1"/>
    <col min="14341" max="14341" width="10" style="73" customWidth="1"/>
    <col min="14342" max="14342" width="8.85546875" style="73"/>
    <col min="14343" max="14343" width="9" style="73" customWidth="1"/>
    <col min="14344" max="14347" width="8.85546875" style="73"/>
    <col min="14348" max="14348" width="10" style="73" customWidth="1"/>
    <col min="14349" max="14594" width="8.85546875" style="73"/>
    <col min="14595" max="14595" width="5.42578125" style="73" customWidth="1"/>
    <col min="14596" max="14596" width="10.42578125" style="73" customWidth="1"/>
    <col min="14597" max="14597" width="10" style="73" customWidth="1"/>
    <col min="14598" max="14598" width="8.85546875" style="73"/>
    <col min="14599" max="14599" width="9" style="73" customWidth="1"/>
    <col min="14600" max="14603" width="8.85546875" style="73"/>
    <col min="14604" max="14604" width="10" style="73" customWidth="1"/>
    <col min="14605" max="14850" width="8.85546875" style="73"/>
    <col min="14851" max="14851" width="5.42578125" style="73" customWidth="1"/>
    <col min="14852" max="14852" width="10.42578125" style="73" customWidth="1"/>
    <col min="14853" max="14853" width="10" style="73" customWidth="1"/>
    <col min="14854" max="14854" width="8.85546875" style="73"/>
    <col min="14855" max="14855" width="9" style="73" customWidth="1"/>
    <col min="14856" max="14859" width="8.85546875" style="73"/>
    <col min="14860" max="14860" width="10" style="73" customWidth="1"/>
    <col min="14861" max="15106" width="8.85546875" style="73"/>
    <col min="15107" max="15107" width="5.42578125" style="73" customWidth="1"/>
    <col min="15108" max="15108" width="10.42578125" style="73" customWidth="1"/>
    <col min="15109" max="15109" width="10" style="73" customWidth="1"/>
    <col min="15110" max="15110" width="8.85546875" style="73"/>
    <col min="15111" max="15111" width="9" style="73" customWidth="1"/>
    <col min="15112" max="15115" width="8.85546875" style="73"/>
    <col min="15116" max="15116" width="10" style="73" customWidth="1"/>
    <col min="15117" max="15362" width="8.85546875" style="73"/>
    <col min="15363" max="15363" width="5.42578125" style="73" customWidth="1"/>
    <col min="15364" max="15364" width="10.42578125" style="73" customWidth="1"/>
    <col min="15365" max="15365" width="10" style="73" customWidth="1"/>
    <col min="15366" max="15366" width="8.85546875" style="73"/>
    <col min="15367" max="15367" width="9" style="73" customWidth="1"/>
    <col min="15368" max="15371" width="8.85546875" style="73"/>
    <col min="15372" max="15372" width="10" style="73" customWidth="1"/>
    <col min="15373" max="15618" width="8.85546875" style="73"/>
    <col min="15619" max="15619" width="5.42578125" style="73" customWidth="1"/>
    <col min="15620" max="15620" width="10.42578125" style="73" customWidth="1"/>
    <col min="15621" max="15621" width="10" style="73" customWidth="1"/>
    <col min="15622" max="15622" width="8.85546875" style="73"/>
    <col min="15623" max="15623" width="9" style="73" customWidth="1"/>
    <col min="15624" max="15627" width="8.85546875" style="73"/>
    <col min="15628" max="15628" width="10" style="73" customWidth="1"/>
    <col min="15629" max="15874" width="8.85546875" style="73"/>
    <col min="15875" max="15875" width="5.42578125" style="73" customWidth="1"/>
    <col min="15876" max="15876" width="10.42578125" style="73" customWidth="1"/>
    <col min="15877" max="15877" width="10" style="73" customWidth="1"/>
    <col min="15878" max="15878" width="8.85546875" style="73"/>
    <col min="15879" max="15879" width="9" style="73" customWidth="1"/>
    <col min="15880" max="15883" width="8.85546875" style="73"/>
    <col min="15884" max="15884" width="10" style="73" customWidth="1"/>
    <col min="15885" max="16130" width="8.85546875" style="73"/>
    <col min="16131" max="16131" width="5.42578125" style="73" customWidth="1"/>
    <col min="16132" max="16132" width="10.42578125" style="73" customWidth="1"/>
    <col min="16133" max="16133" width="10" style="73" customWidth="1"/>
    <col min="16134" max="16134" width="8.85546875" style="73"/>
    <col min="16135" max="16135" width="9" style="73" customWidth="1"/>
    <col min="16136" max="16139" width="8.85546875" style="73"/>
    <col min="16140" max="16140" width="10" style="73" customWidth="1"/>
    <col min="16141" max="16384" width="8.85546875" style="73"/>
  </cols>
  <sheetData>
    <row r="1" spans="1:16">
      <c r="A1" s="69" t="s">
        <v>478</v>
      </c>
      <c r="B1" s="70"/>
      <c r="C1" s="70"/>
      <c r="D1" s="70"/>
      <c r="E1" s="71" t="s">
        <v>479</v>
      </c>
      <c r="F1" s="70"/>
      <c r="G1" s="70"/>
      <c r="H1" s="70"/>
      <c r="I1" s="70"/>
      <c r="J1" s="70"/>
      <c r="K1" s="70"/>
      <c r="L1" s="72"/>
      <c r="M1" s="252" t="s">
        <v>480</v>
      </c>
      <c r="N1" s="253"/>
      <c r="O1" s="253"/>
      <c r="P1" s="254"/>
    </row>
    <row r="2" spans="1:16" ht="12.75" customHeight="1">
      <c r="A2" s="255"/>
      <c r="B2" s="256"/>
      <c r="C2" s="256"/>
      <c r="D2" s="257"/>
      <c r="E2" s="272" t="s">
        <v>490</v>
      </c>
      <c r="F2" s="273"/>
      <c r="G2" s="273"/>
      <c r="H2" s="273"/>
      <c r="I2" s="273"/>
      <c r="J2" s="273"/>
      <c r="K2" s="273"/>
      <c r="L2" s="274"/>
      <c r="M2" s="74"/>
      <c r="N2" s="258" t="s">
        <v>481</v>
      </c>
      <c r="O2" s="258"/>
      <c r="P2" s="259"/>
    </row>
    <row r="3" spans="1:16" ht="1.5" customHeight="1">
      <c r="A3" s="255"/>
      <c r="B3" s="256"/>
      <c r="C3" s="256"/>
      <c r="D3" s="257"/>
      <c r="E3" s="272"/>
      <c r="F3" s="273"/>
      <c r="G3" s="273"/>
      <c r="H3" s="273"/>
      <c r="I3" s="273"/>
      <c r="J3" s="273"/>
      <c r="K3" s="273"/>
      <c r="L3" s="274"/>
      <c r="M3" s="74"/>
      <c r="N3" s="258"/>
      <c r="O3" s="258"/>
      <c r="P3" s="259"/>
    </row>
    <row r="4" spans="1:16" ht="12.75" customHeight="1">
      <c r="A4" s="255"/>
      <c r="B4" s="256"/>
      <c r="C4" s="256"/>
      <c r="D4" s="257"/>
      <c r="E4" s="272"/>
      <c r="F4" s="273"/>
      <c r="G4" s="273"/>
      <c r="H4" s="273"/>
      <c r="I4" s="273"/>
      <c r="J4" s="273"/>
      <c r="K4" s="273"/>
      <c r="L4" s="274"/>
      <c r="M4" s="74"/>
      <c r="N4" s="258"/>
      <c r="O4" s="258"/>
      <c r="P4" s="259"/>
    </row>
    <row r="5" spans="1:16" ht="12.75" customHeight="1">
      <c r="A5" s="75"/>
      <c r="E5" s="272"/>
      <c r="F5" s="273"/>
      <c r="G5" s="273"/>
      <c r="H5" s="273"/>
      <c r="I5" s="273"/>
      <c r="J5" s="273"/>
      <c r="K5" s="273"/>
      <c r="L5" s="274"/>
      <c r="M5" s="74"/>
      <c r="N5" s="258"/>
      <c r="O5" s="258"/>
      <c r="P5" s="259"/>
    </row>
    <row r="6" spans="1:16" ht="12.75" customHeight="1">
      <c r="A6" s="76"/>
      <c r="B6" s="77"/>
      <c r="C6" s="77"/>
      <c r="D6" s="77"/>
      <c r="E6" s="272"/>
      <c r="F6" s="273"/>
      <c r="G6" s="273"/>
      <c r="H6" s="273"/>
      <c r="I6" s="273"/>
      <c r="J6" s="273"/>
      <c r="K6" s="273"/>
      <c r="L6" s="274"/>
      <c r="M6" s="78"/>
      <c r="N6" s="260"/>
      <c r="O6" s="260"/>
      <c r="P6" s="261"/>
    </row>
    <row r="7" spans="1:16" ht="12.75" customHeight="1">
      <c r="A7" s="79" t="s">
        <v>482</v>
      </c>
      <c r="B7" s="80"/>
      <c r="C7" s="80"/>
      <c r="D7" s="80"/>
      <c r="E7" s="272"/>
      <c r="F7" s="273"/>
      <c r="G7" s="273"/>
      <c r="H7" s="273"/>
      <c r="I7" s="273"/>
      <c r="J7" s="273"/>
      <c r="K7" s="273"/>
      <c r="L7" s="274"/>
      <c r="M7" s="81" t="s">
        <v>483</v>
      </c>
      <c r="N7" s="82"/>
      <c r="O7" s="82"/>
      <c r="P7" s="83"/>
    </row>
    <row r="8" spans="1:16" ht="12.75" customHeight="1">
      <c r="A8" s="262" t="s">
        <v>487</v>
      </c>
      <c r="B8" s="263"/>
      <c r="C8" s="263"/>
      <c r="D8" s="264"/>
      <c r="E8" s="272"/>
      <c r="F8" s="273"/>
      <c r="G8" s="273"/>
      <c r="H8" s="273"/>
      <c r="I8" s="273"/>
      <c r="J8" s="273"/>
      <c r="K8" s="273"/>
      <c r="L8" s="274"/>
      <c r="M8" s="268"/>
      <c r="N8" s="263"/>
      <c r="O8" s="263"/>
      <c r="P8" s="269"/>
    </row>
    <row r="9" spans="1:16" ht="12.75" customHeight="1">
      <c r="A9" s="265"/>
      <c r="B9" s="266"/>
      <c r="C9" s="266"/>
      <c r="D9" s="267"/>
      <c r="E9" s="275"/>
      <c r="F9" s="276"/>
      <c r="G9" s="276"/>
      <c r="H9" s="276"/>
      <c r="I9" s="276"/>
      <c r="J9" s="276"/>
      <c r="K9" s="276"/>
      <c r="L9" s="277"/>
      <c r="M9" s="270"/>
      <c r="N9" s="266"/>
      <c r="O9" s="266"/>
      <c r="P9" s="271"/>
    </row>
    <row r="10" spans="1:16" ht="12.75" customHeight="1">
      <c r="A10" s="227" t="s">
        <v>484</v>
      </c>
      <c r="B10" s="228"/>
      <c r="C10" s="228"/>
      <c r="D10" s="229"/>
      <c r="E10" s="230" t="s">
        <v>485</v>
      </c>
      <c r="F10" s="231"/>
      <c r="G10" s="231"/>
      <c r="H10" s="231"/>
      <c r="I10" s="231"/>
      <c r="J10" s="231"/>
      <c r="K10" s="231"/>
      <c r="L10" s="232"/>
      <c r="M10" s="230" t="s">
        <v>0</v>
      </c>
      <c r="N10" s="232"/>
      <c r="O10" s="230" t="s">
        <v>551</v>
      </c>
      <c r="P10" s="237"/>
    </row>
    <row r="11" spans="1:16" ht="12.75" customHeight="1">
      <c r="A11" s="240"/>
      <c r="B11" s="241"/>
      <c r="C11" s="241"/>
      <c r="D11" s="242"/>
      <c r="E11" s="246" t="s">
        <v>488</v>
      </c>
      <c r="F11" s="247"/>
      <c r="G11" s="247"/>
      <c r="H11" s="247"/>
      <c r="I11" s="247"/>
      <c r="J11" s="247"/>
      <c r="K11" s="247"/>
      <c r="L11" s="248"/>
      <c r="M11" s="233"/>
      <c r="N11" s="234"/>
      <c r="O11" s="233"/>
      <c r="P11" s="238"/>
    </row>
    <row r="12" spans="1:16" ht="24.75" customHeight="1">
      <c r="A12" s="243"/>
      <c r="B12" s="244"/>
      <c r="C12" s="244"/>
      <c r="D12" s="245"/>
      <c r="E12" s="249"/>
      <c r="F12" s="250"/>
      <c r="G12" s="250"/>
      <c r="H12" s="250"/>
      <c r="I12" s="250"/>
      <c r="J12" s="250"/>
      <c r="K12" s="250"/>
      <c r="L12" s="251"/>
      <c r="M12" s="235"/>
      <c r="N12" s="236"/>
      <c r="O12" s="235"/>
      <c r="P12" s="239"/>
    </row>
    <row r="13" spans="1:16" ht="24.75" customHeight="1">
      <c r="A13" s="221" t="s">
        <v>489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3"/>
    </row>
    <row r="14" spans="1:16" ht="24" customHeight="1">
      <c r="A14" s="224"/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6"/>
    </row>
    <row r="15" spans="1:16" ht="43.5" customHeight="1">
      <c r="A15" s="224"/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6"/>
    </row>
    <row r="16" spans="1:16" ht="12" customHeight="1">
      <c r="A16" s="224"/>
      <c r="B16" s="225"/>
      <c r="C16" s="225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6"/>
    </row>
    <row r="17" spans="1:16" ht="12" customHeight="1">
      <c r="A17" s="75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5"/>
    </row>
    <row r="18" spans="1:16" ht="12" customHeight="1">
      <c r="A18" s="86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5"/>
    </row>
    <row r="19" spans="1:16" ht="12" customHeight="1">
      <c r="A19" s="87"/>
      <c r="C19" s="88"/>
      <c r="D19" s="88"/>
      <c r="E19" s="88"/>
      <c r="F19" s="88"/>
      <c r="G19" s="88"/>
      <c r="H19" s="88"/>
      <c r="I19" s="88"/>
      <c r="J19" s="88"/>
      <c r="K19" s="89"/>
      <c r="L19" s="89"/>
      <c r="M19" s="89"/>
      <c r="N19" s="89"/>
      <c r="O19" s="89"/>
      <c r="P19" s="90"/>
    </row>
    <row r="20" spans="1:16" ht="12" customHeight="1">
      <c r="A20" s="86"/>
      <c r="C20" s="91"/>
      <c r="D20" s="91"/>
      <c r="E20" s="91"/>
      <c r="F20" s="91"/>
      <c r="G20" s="91"/>
      <c r="H20" s="91"/>
      <c r="I20" s="91"/>
      <c r="J20" s="91"/>
      <c r="K20" s="89"/>
      <c r="L20" s="89"/>
      <c r="M20" s="89"/>
      <c r="N20" s="89"/>
      <c r="O20" s="89"/>
      <c r="P20" s="90"/>
    </row>
    <row r="21" spans="1:16" ht="12" customHeight="1">
      <c r="A21" s="87"/>
      <c r="C21" s="88"/>
      <c r="D21" s="88"/>
      <c r="E21" s="88"/>
      <c r="F21" s="88"/>
      <c r="G21" s="88"/>
      <c r="H21" s="88"/>
      <c r="I21" s="88"/>
      <c r="J21" s="88"/>
      <c r="K21" s="89"/>
      <c r="L21" s="89"/>
      <c r="M21" s="89"/>
      <c r="N21" s="89"/>
      <c r="O21" s="89"/>
      <c r="P21" s="90"/>
    </row>
    <row r="22" spans="1:16" ht="12" customHeight="1">
      <c r="A22" s="87"/>
      <c r="C22" s="91"/>
      <c r="D22" s="91"/>
      <c r="E22" s="91"/>
      <c r="F22" s="91"/>
      <c r="G22" s="91"/>
      <c r="H22" s="91"/>
      <c r="I22" s="91"/>
      <c r="J22" s="91"/>
      <c r="K22" s="89"/>
      <c r="L22" s="89"/>
      <c r="M22" s="89"/>
      <c r="N22" s="89"/>
      <c r="O22" s="89"/>
      <c r="P22" s="90"/>
    </row>
    <row r="23" spans="1:16" ht="12" customHeight="1">
      <c r="A23" s="87"/>
      <c r="C23" s="91"/>
      <c r="D23" s="91"/>
      <c r="E23" s="91"/>
      <c r="F23" s="91"/>
      <c r="G23" s="91"/>
      <c r="H23" s="91"/>
      <c r="I23" s="91"/>
      <c r="J23" s="91"/>
      <c r="K23" s="89"/>
      <c r="L23" s="89"/>
      <c r="M23" s="89"/>
      <c r="N23" s="89"/>
      <c r="O23" s="89"/>
      <c r="P23" s="92"/>
    </row>
    <row r="24" spans="1:16" ht="12" customHeight="1">
      <c r="A24" s="87"/>
      <c r="C24" s="91"/>
      <c r="D24" s="91"/>
      <c r="E24" s="91"/>
      <c r="F24" s="91"/>
      <c r="G24" s="91"/>
      <c r="H24" s="91"/>
      <c r="I24" s="91"/>
      <c r="J24" s="91"/>
      <c r="K24" s="89"/>
      <c r="L24" s="89"/>
      <c r="M24" s="89"/>
      <c r="N24" s="89"/>
      <c r="O24" s="89"/>
      <c r="P24" s="92"/>
    </row>
    <row r="25" spans="1:16" ht="12" customHeight="1">
      <c r="A25" s="75"/>
      <c r="C25" s="91"/>
      <c r="D25" s="91"/>
      <c r="E25" s="91"/>
      <c r="F25" s="91"/>
      <c r="G25" s="91"/>
      <c r="H25" s="91"/>
      <c r="I25" s="91"/>
      <c r="J25" s="91"/>
      <c r="K25" s="89"/>
      <c r="L25" s="89"/>
      <c r="M25" s="89"/>
      <c r="N25" s="89"/>
      <c r="O25" s="89"/>
      <c r="P25" s="92"/>
    </row>
    <row r="26" spans="1:16" ht="12" customHeight="1">
      <c r="A26" s="93"/>
      <c r="K26" s="94"/>
      <c r="L26" s="94"/>
      <c r="M26" s="94"/>
      <c r="N26" s="94"/>
      <c r="O26" s="94"/>
      <c r="P26" s="95"/>
    </row>
    <row r="27" spans="1:16" ht="18.75" customHeight="1">
      <c r="A27" s="96"/>
      <c r="B27" s="205"/>
      <c r="C27" s="206"/>
      <c r="D27" s="206"/>
      <c r="E27" s="206"/>
      <c r="F27" s="206"/>
      <c r="G27" s="206"/>
      <c r="H27" s="207"/>
      <c r="I27" s="208"/>
      <c r="J27" s="209"/>
      <c r="K27" s="208"/>
      <c r="L27" s="209"/>
      <c r="M27" s="208"/>
      <c r="N27" s="209"/>
      <c r="O27" s="208"/>
      <c r="P27" s="210"/>
    </row>
    <row r="28" spans="1:16" ht="18" customHeight="1">
      <c r="A28" s="96"/>
      <c r="B28" s="205"/>
      <c r="C28" s="206"/>
      <c r="D28" s="206"/>
      <c r="E28" s="206"/>
      <c r="F28" s="206"/>
      <c r="G28" s="206"/>
      <c r="H28" s="207"/>
      <c r="I28" s="208"/>
      <c r="J28" s="209"/>
      <c r="K28" s="208"/>
      <c r="L28" s="209"/>
      <c r="M28" s="208"/>
      <c r="N28" s="209"/>
      <c r="O28" s="208"/>
      <c r="P28" s="210"/>
    </row>
    <row r="29" spans="1:16" ht="18" customHeight="1">
      <c r="A29" s="96">
        <v>3</v>
      </c>
      <c r="B29" s="205" t="s">
        <v>736</v>
      </c>
      <c r="C29" s="206"/>
      <c r="D29" s="206"/>
      <c r="E29" s="206"/>
      <c r="F29" s="206"/>
      <c r="G29" s="206"/>
      <c r="H29" s="207"/>
      <c r="I29" s="208" t="s">
        <v>2</v>
      </c>
      <c r="J29" s="209"/>
      <c r="K29" s="208" t="s">
        <v>1</v>
      </c>
      <c r="L29" s="209"/>
      <c r="M29" s="208" t="s">
        <v>3</v>
      </c>
      <c r="N29" s="209"/>
      <c r="O29" s="208">
        <v>44120</v>
      </c>
      <c r="P29" s="210"/>
    </row>
    <row r="30" spans="1:16" ht="18" customHeight="1">
      <c r="A30" s="96">
        <v>2</v>
      </c>
      <c r="B30" s="205" t="s">
        <v>505</v>
      </c>
      <c r="C30" s="206"/>
      <c r="D30" s="206"/>
      <c r="E30" s="206"/>
      <c r="F30" s="206"/>
      <c r="G30" s="206"/>
      <c r="H30" s="207"/>
      <c r="I30" s="208" t="s">
        <v>2</v>
      </c>
      <c r="J30" s="209"/>
      <c r="K30" s="208" t="s">
        <v>1</v>
      </c>
      <c r="L30" s="209"/>
      <c r="M30" s="208" t="s">
        <v>3</v>
      </c>
      <c r="N30" s="209"/>
      <c r="O30" s="208">
        <v>44062</v>
      </c>
      <c r="P30" s="210"/>
    </row>
    <row r="31" spans="1:16" ht="18" customHeight="1">
      <c r="A31" s="96">
        <v>1</v>
      </c>
      <c r="B31" s="205" t="s">
        <v>505</v>
      </c>
      <c r="C31" s="206"/>
      <c r="D31" s="206"/>
      <c r="E31" s="206"/>
      <c r="F31" s="206"/>
      <c r="G31" s="206"/>
      <c r="H31" s="207"/>
      <c r="I31" s="208" t="s">
        <v>2</v>
      </c>
      <c r="J31" s="209"/>
      <c r="K31" s="208" t="s">
        <v>1</v>
      </c>
      <c r="L31" s="209"/>
      <c r="M31" s="208" t="s">
        <v>3</v>
      </c>
      <c r="N31" s="209"/>
      <c r="O31" s="208">
        <v>44027</v>
      </c>
      <c r="P31" s="210"/>
    </row>
    <row r="32" spans="1:16" ht="18" customHeight="1">
      <c r="A32" s="96">
        <v>0</v>
      </c>
      <c r="B32" s="205" t="s">
        <v>486</v>
      </c>
      <c r="C32" s="206"/>
      <c r="D32" s="206"/>
      <c r="E32" s="206"/>
      <c r="F32" s="206"/>
      <c r="G32" s="206"/>
      <c r="H32" s="207"/>
      <c r="I32" s="208" t="s">
        <v>2</v>
      </c>
      <c r="J32" s="209"/>
      <c r="K32" s="208" t="s">
        <v>1</v>
      </c>
      <c r="L32" s="209"/>
      <c r="M32" s="208" t="s">
        <v>3</v>
      </c>
      <c r="N32" s="209"/>
      <c r="O32" s="208">
        <v>43980</v>
      </c>
      <c r="P32" s="210"/>
    </row>
    <row r="33" spans="1:16" ht="10.5" customHeight="1">
      <c r="A33" s="211" t="s">
        <v>4</v>
      </c>
      <c r="B33" s="213" t="s">
        <v>5</v>
      </c>
      <c r="C33" s="214"/>
      <c r="D33" s="214"/>
      <c r="E33" s="214"/>
      <c r="F33" s="214"/>
      <c r="G33" s="214"/>
      <c r="H33" s="215"/>
      <c r="I33" s="201" t="s">
        <v>6</v>
      </c>
      <c r="J33" s="219"/>
      <c r="K33" s="201" t="s">
        <v>7</v>
      </c>
      <c r="L33" s="219"/>
      <c r="M33" s="201" t="s">
        <v>8</v>
      </c>
      <c r="N33" s="219"/>
      <c r="O33" s="201" t="s">
        <v>9</v>
      </c>
      <c r="P33" s="202"/>
    </row>
    <row r="34" spans="1:16" ht="9" customHeight="1" thickBot="1">
      <c r="A34" s="212"/>
      <c r="B34" s="216"/>
      <c r="C34" s="217"/>
      <c r="D34" s="217"/>
      <c r="E34" s="217"/>
      <c r="F34" s="217"/>
      <c r="G34" s="217"/>
      <c r="H34" s="218"/>
      <c r="I34" s="203"/>
      <c r="J34" s="220"/>
      <c r="K34" s="203"/>
      <c r="L34" s="220"/>
      <c r="M34" s="203"/>
      <c r="N34" s="220"/>
      <c r="O34" s="203"/>
      <c r="P34" s="204"/>
    </row>
  </sheetData>
  <mergeCells count="49">
    <mergeCell ref="M1:P1"/>
    <mergeCell ref="A2:D4"/>
    <mergeCell ref="N2:P6"/>
    <mergeCell ref="A8:D9"/>
    <mergeCell ref="M8:P9"/>
    <mergeCell ref="E2:L9"/>
    <mergeCell ref="A10:D10"/>
    <mergeCell ref="E10:L10"/>
    <mergeCell ref="M10:N12"/>
    <mergeCell ref="O10:P12"/>
    <mergeCell ref="A11:D12"/>
    <mergeCell ref="E11:L12"/>
    <mergeCell ref="A13:P16"/>
    <mergeCell ref="B27:H27"/>
    <mergeCell ref="I27:J27"/>
    <mergeCell ref="K27:L27"/>
    <mergeCell ref="M27:N27"/>
    <mergeCell ref="O27:P27"/>
    <mergeCell ref="B29:H29"/>
    <mergeCell ref="I29:J29"/>
    <mergeCell ref="K29:L29"/>
    <mergeCell ref="M29:N29"/>
    <mergeCell ref="O29:P29"/>
    <mergeCell ref="B28:H28"/>
    <mergeCell ref="I28:J28"/>
    <mergeCell ref="K28:L28"/>
    <mergeCell ref="M28:N28"/>
    <mergeCell ref="O28:P28"/>
    <mergeCell ref="B31:H31"/>
    <mergeCell ref="I31:J31"/>
    <mergeCell ref="K31:L31"/>
    <mergeCell ref="M31:N31"/>
    <mergeCell ref="O31:P31"/>
    <mergeCell ref="B30:H30"/>
    <mergeCell ref="I30:J30"/>
    <mergeCell ref="K30:L30"/>
    <mergeCell ref="M30:N30"/>
    <mergeCell ref="O30:P30"/>
    <mergeCell ref="A33:A34"/>
    <mergeCell ref="B33:H34"/>
    <mergeCell ref="I33:J34"/>
    <mergeCell ref="K33:L34"/>
    <mergeCell ref="M33:N34"/>
    <mergeCell ref="O33:P34"/>
    <mergeCell ref="B32:H32"/>
    <mergeCell ref="I32:J32"/>
    <mergeCell ref="K32:L32"/>
    <mergeCell ref="M32:N32"/>
    <mergeCell ref="O32:P32"/>
  </mergeCells>
  <printOptions horizontalCentered="1" verticalCentered="1"/>
  <pageMargins left="0.19685039370078741" right="0.19685039370078741" top="0.19685039370078741" bottom="0.78740157480314965" header="0.31496062992125984" footer="0.31496062992125984"/>
  <pageSetup paperSize="9" orientation="landscape" r:id="rId1"/>
  <headerFooter scaleWithDoc="0" alignWithMargins="0">
    <oddFooter>&amp;L&amp;F&amp;C&amp;A&amp;RSh.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BQ48"/>
  <sheetViews>
    <sheetView view="pageBreakPreview" zoomScale="90" zoomScaleSheetLayoutView="90" workbookViewId="0">
      <selection activeCell="C32" sqref="C32:BO46"/>
    </sheetView>
  </sheetViews>
  <sheetFormatPr defaultColWidth="2.7109375" defaultRowHeight="12.75"/>
  <cols>
    <col min="1" max="16384" width="2.7109375" style="110"/>
  </cols>
  <sheetData>
    <row r="1" spans="1:69" s="108" customFormat="1" ht="14.1" customHeight="1">
      <c r="A1" s="104"/>
      <c r="B1" s="105"/>
      <c r="C1" s="105"/>
      <c r="D1" s="106"/>
      <c r="E1" s="105"/>
      <c r="F1" s="105"/>
      <c r="G1" s="105"/>
      <c r="H1" s="105"/>
      <c r="I1" s="105"/>
      <c r="J1" s="105"/>
      <c r="K1" s="106"/>
      <c r="L1" s="105"/>
      <c r="M1" s="105"/>
      <c r="N1" s="105"/>
      <c r="O1" s="105"/>
      <c r="P1" s="106"/>
      <c r="Q1" s="105"/>
      <c r="R1" s="105"/>
      <c r="S1" s="105"/>
      <c r="T1" s="105"/>
      <c r="U1" s="106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7"/>
    </row>
    <row r="2" spans="1:69">
      <c r="A2" s="109"/>
      <c r="BQ2" s="111"/>
    </row>
    <row r="3" spans="1:69">
      <c r="A3" s="109"/>
      <c r="BQ3" s="111"/>
    </row>
    <row r="4" spans="1:69">
      <c r="A4" s="109"/>
      <c r="BQ4" s="111"/>
    </row>
    <row r="5" spans="1:69" ht="16.5" customHeight="1">
      <c r="A5" s="109"/>
      <c r="C5" s="112" t="s">
        <v>10</v>
      </c>
      <c r="BQ5" s="111"/>
    </row>
    <row r="6" spans="1:69" s="114" customFormat="1">
      <c r="A6" s="113"/>
      <c r="C6" s="278" t="s">
        <v>11</v>
      </c>
      <c r="D6" s="279"/>
      <c r="E6" s="279"/>
      <c r="F6" s="280"/>
      <c r="G6" s="279" t="s">
        <v>12</v>
      </c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80"/>
      <c r="BQ6" s="115"/>
    </row>
    <row r="7" spans="1:69" ht="12.75" customHeight="1">
      <c r="A7" s="109"/>
      <c r="C7" s="278" t="s">
        <v>13</v>
      </c>
      <c r="D7" s="279"/>
      <c r="E7" s="279"/>
      <c r="F7" s="280"/>
      <c r="G7" s="279" t="s">
        <v>14</v>
      </c>
      <c r="H7" s="279"/>
      <c r="I7" s="279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79"/>
      <c r="U7" s="279"/>
      <c r="V7" s="279"/>
      <c r="W7" s="279"/>
      <c r="X7" s="279"/>
      <c r="Y7" s="279"/>
      <c r="Z7" s="279"/>
      <c r="AA7" s="279"/>
      <c r="AB7" s="280"/>
      <c r="BQ7" s="111"/>
    </row>
    <row r="8" spans="1:69" ht="12.75" customHeight="1">
      <c r="A8" s="109"/>
      <c r="C8" s="278" t="s">
        <v>15</v>
      </c>
      <c r="D8" s="279"/>
      <c r="E8" s="279"/>
      <c r="F8" s="280"/>
      <c r="G8" s="279" t="s">
        <v>16</v>
      </c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79"/>
      <c r="V8" s="279"/>
      <c r="W8" s="279"/>
      <c r="X8" s="279"/>
      <c r="Y8" s="279"/>
      <c r="Z8" s="279"/>
      <c r="AA8" s="279"/>
      <c r="AB8" s="280"/>
      <c r="BQ8" s="111"/>
    </row>
    <row r="9" spans="1:69">
      <c r="A9" s="109"/>
      <c r="C9" s="278" t="s">
        <v>17</v>
      </c>
      <c r="D9" s="279"/>
      <c r="E9" s="279"/>
      <c r="F9" s="280"/>
      <c r="G9" s="279" t="s">
        <v>18</v>
      </c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79"/>
      <c r="V9" s="279"/>
      <c r="W9" s="279"/>
      <c r="X9" s="279"/>
      <c r="Y9" s="279"/>
      <c r="Z9" s="279"/>
      <c r="AA9" s="279"/>
      <c r="AB9" s="280"/>
      <c r="BQ9" s="111"/>
    </row>
    <row r="10" spans="1:69">
      <c r="A10" s="109"/>
      <c r="C10" s="278" t="s">
        <v>19</v>
      </c>
      <c r="D10" s="279"/>
      <c r="E10" s="279"/>
      <c r="F10" s="280"/>
      <c r="G10" s="279" t="s">
        <v>20</v>
      </c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79"/>
      <c r="Y10" s="279"/>
      <c r="Z10" s="279"/>
      <c r="AA10" s="279"/>
      <c r="AB10" s="280"/>
      <c r="BQ10" s="111"/>
    </row>
    <row r="11" spans="1:69">
      <c r="A11" s="109"/>
      <c r="C11" s="278" t="s">
        <v>21</v>
      </c>
      <c r="D11" s="279"/>
      <c r="E11" s="279"/>
      <c r="F11" s="280"/>
      <c r="G11" s="278" t="s">
        <v>22</v>
      </c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R11" s="279"/>
      <c r="S11" s="279"/>
      <c r="T11" s="279"/>
      <c r="U11" s="279"/>
      <c r="V11" s="279"/>
      <c r="W11" s="279"/>
      <c r="X11" s="279"/>
      <c r="Y11" s="279"/>
      <c r="Z11" s="279"/>
      <c r="AA11" s="279"/>
      <c r="AB11" s="280"/>
      <c r="BQ11" s="111"/>
    </row>
    <row r="12" spans="1:69">
      <c r="A12" s="109"/>
      <c r="C12" s="278" t="s">
        <v>23</v>
      </c>
      <c r="D12" s="279"/>
      <c r="E12" s="279"/>
      <c r="F12" s="280"/>
      <c r="G12" s="278" t="s">
        <v>24</v>
      </c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79"/>
      <c r="Y12" s="279"/>
      <c r="Z12" s="279"/>
      <c r="AA12" s="279"/>
      <c r="AB12" s="280"/>
      <c r="BQ12" s="111"/>
    </row>
    <row r="13" spans="1:69">
      <c r="A13" s="109"/>
      <c r="C13" s="278" t="s">
        <v>25</v>
      </c>
      <c r="D13" s="279"/>
      <c r="E13" s="279"/>
      <c r="F13" s="280"/>
      <c r="G13" s="278" t="s">
        <v>26</v>
      </c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79"/>
      <c r="AB13" s="280"/>
      <c r="AL13" s="17"/>
      <c r="BQ13" s="111"/>
    </row>
    <row r="14" spans="1:69">
      <c r="A14" s="109"/>
      <c r="C14" s="278" t="s">
        <v>27</v>
      </c>
      <c r="D14" s="279"/>
      <c r="E14" s="279"/>
      <c r="F14" s="280"/>
      <c r="G14" s="278" t="s">
        <v>28</v>
      </c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79"/>
      <c r="S14" s="279"/>
      <c r="T14" s="279"/>
      <c r="U14" s="279"/>
      <c r="V14" s="279"/>
      <c r="W14" s="279"/>
      <c r="X14" s="279"/>
      <c r="Y14" s="279"/>
      <c r="Z14" s="279"/>
      <c r="AA14" s="279"/>
      <c r="AB14" s="280"/>
      <c r="BQ14" s="111"/>
    </row>
    <row r="15" spans="1:69">
      <c r="A15" s="109"/>
      <c r="C15" s="278" t="s">
        <v>29</v>
      </c>
      <c r="D15" s="279"/>
      <c r="E15" s="279"/>
      <c r="F15" s="280"/>
      <c r="G15" s="278" t="s">
        <v>30</v>
      </c>
      <c r="H15" s="279"/>
      <c r="I15" s="279"/>
      <c r="J15" s="279"/>
      <c r="K15" s="279"/>
      <c r="L15" s="279"/>
      <c r="M15" s="279"/>
      <c r="N15" s="279"/>
      <c r="O15" s="279"/>
      <c r="P15" s="279"/>
      <c r="Q15" s="279"/>
      <c r="R15" s="279"/>
      <c r="S15" s="279"/>
      <c r="T15" s="279"/>
      <c r="U15" s="279"/>
      <c r="V15" s="279"/>
      <c r="W15" s="279"/>
      <c r="X15" s="279"/>
      <c r="Y15" s="279"/>
      <c r="Z15" s="279"/>
      <c r="AA15" s="279"/>
      <c r="AB15" s="280"/>
      <c r="BQ15" s="111"/>
    </row>
    <row r="16" spans="1:69">
      <c r="A16" s="109"/>
      <c r="C16" s="278" t="s">
        <v>31</v>
      </c>
      <c r="D16" s="279"/>
      <c r="E16" s="279"/>
      <c r="F16" s="280"/>
      <c r="G16" s="278" t="s">
        <v>32</v>
      </c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79"/>
      <c r="S16" s="279"/>
      <c r="T16" s="279"/>
      <c r="U16" s="279"/>
      <c r="V16" s="279"/>
      <c r="W16" s="279"/>
      <c r="X16" s="279"/>
      <c r="Y16" s="279"/>
      <c r="Z16" s="279"/>
      <c r="AA16" s="279"/>
      <c r="AB16" s="280"/>
      <c r="BQ16" s="111"/>
    </row>
    <row r="17" spans="1:69">
      <c r="A17" s="109"/>
      <c r="C17" s="278" t="s">
        <v>492</v>
      </c>
      <c r="D17" s="279"/>
      <c r="E17" s="279"/>
      <c r="F17" s="280"/>
      <c r="G17" s="278" t="s">
        <v>34</v>
      </c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/>
      <c r="S17" s="279"/>
      <c r="T17" s="279"/>
      <c r="U17" s="279"/>
      <c r="V17" s="279"/>
      <c r="W17" s="279"/>
      <c r="X17" s="279"/>
      <c r="Y17" s="279"/>
      <c r="Z17" s="279"/>
      <c r="AA17" s="279"/>
      <c r="AB17" s="280"/>
      <c r="BQ17" s="111"/>
    </row>
    <row r="18" spans="1:69">
      <c r="A18" s="109"/>
      <c r="C18" s="278" t="s">
        <v>35</v>
      </c>
      <c r="D18" s="279"/>
      <c r="E18" s="279"/>
      <c r="F18" s="280"/>
      <c r="G18" s="278" t="s">
        <v>36</v>
      </c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W18" s="279"/>
      <c r="X18" s="279"/>
      <c r="Y18" s="279"/>
      <c r="Z18" s="279"/>
      <c r="AA18" s="279"/>
      <c r="AB18" s="280"/>
      <c r="BQ18" s="111"/>
    </row>
    <row r="19" spans="1:69">
      <c r="A19" s="109"/>
      <c r="C19" s="278"/>
      <c r="D19" s="279"/>
      <c r="E19" s="279"/>
      <c r="F19" s="280"/>
      <c r="G19" s="278"/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279"/>
      <c r="S19" s="279"/>
      <c r="T19" s="279"/>
      <c r="U19" s="279"/>
      <c r="V19" s="279"/>
      <c r="W19" s="279"/>
      <c r="X19" s="279"/>
      <c r="Y19" s="279"/>
      <c r="Z19" s="279"/>
      <c r="AA19" s="279"/>
      <c r="AB19" s="280"/>
      <c r="BQ19" s="111"/>
    </row>
    <row r="20" spans="1:69">
      <c r="A20" s="109"/>
      <c r="C20" s="278"/>
      <c r="D20" s="279"/>
      <c r="E20" s="279"/>
      <c r="F20" s="280"/>
      <c r="G20" s="278"/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79"/>
      <c r="V20" s="279"/>
      <c r="W20" s="279"/>
      <c r="X20" s="279"/>
      <c r="Y20" s="279"/>
      <c r="Z20" s="279"/>
      <c r="AA20" s="279"/>
      <c r="AB20" s="280"/>
      <c r="BQ20" s="111"/>
    </row>
    <row r="21" spans="1:69">
      <c r="A21" s="109"/>
      <c r="C21" s="278"/>
      <c r="D21" s="279"/>
      <c r="E21" s="279"/>
      <c r="F21" s="280"/>
      <c r="G21" s="278"/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79"/>
      <c r="V21" s="279"/>
      <c r="W21" s="279"/>
      <c r="X21" s="279"/>
      <c r="Y21" s="279"/>
      <c r="Z21" s="279"/>
      <c r="AA21" s="279"/>
      <c r="AB21" s="280"/>
      <c r="BQ21" s="111"/>
    </row>
    <row r="22" spans="1:69" ht="12.75" customHeight="1">
      <c r="A22" s="109"/>
      <c r="C22" s="278"/>
      <c r="D22" s="279"/>
      <c r="E22" s="279"/>
      <c r="F22" s="280"/>
      <c r="G22" s="278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  <c r="V22" s="279"/>
      <c r="W22" s="279"/>
      <c r="X22" s="279"/>
      <c r="Y22" s="279"/>
      <c r="Z22" s="279"/>
      <c r="AA22" s="279"/>
      <c r="AB22" s="280"/>
      <c r="BQ22" s="111"/>
    </row>
    <row r="23" spans="1:69" ht="12.75" customHeight="1">
      <c r="A23" s="109"/>
      <c r="C23" s="278"/>
      <c r="D23" s="279"/>
      <c r="E23" s="279"/>
      <c r="F23" s="280"/>
      <c r="G23" s="278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79"/>
      <c r="S23" s="279"/>
      <c r="T23" s="279"/>
      <c r="U23" s="279"/>
      <c r="V23" s="279"/>
      <c r="W23" s="279"/>
      <c r="X23" s="279"/>
      <c r="Y23" s="279"/>
      <c r="Z23" s="279"/>
      <c r="AA23" s="279"/>
      <c r="AB23" s="280"/>
      <c r="BQ23" s="111"/>
    </row>
    <row r="24" spans="1:69" ht="12.75" customHeight="1">
      <c r="A24" s="109"/>
      <c r="C24" s="278"/>
      <c r="D24" s="279"/>
      <c r="E24" s="279"/>
      <c r="F24" s="280"/>
      <c r="G24" s="279"/>
      <c r="H24" s="279"/>
      <c r="I24" s="279"/>
      <c r="J24" s="279"/>
      <c r="K24" s="279"/>
      <c r="L24" s="279"/>
      <c r="M24" s="279"/>
      <c r="N24" s="279"/>
      <c r="O24" s="279"/>
      <c r="P24" s="279"/>
      <c r="Q24" s="279"/>
      <c r="R24" s="279"/>
      <c r="S24" s="279"/>
      <c r="T24" s="279"/>
      <c r="U24" s="279"/>
      <c r="V24" s="279"/>
      <c r="W24" s="279"/>
      <c r="X24" s="279"/>
      <c r="Y24" s="279"/>
      <c r="Z24" s="279"/>
      <c r="AA24" s="279"/>
      <c r="AB24" s="280"/>
      <c r="BQ24" s="111"/>
    </row>
    <row r="25" spans="1:69" ht="12.75" customHeight="1">
      <c r="A25" s="109"/>
      <c r="C25" s="278"/>
      <c r="D25" s="279"/>
      <c r="E25" s="279"/>
      <c r="F25" s="280"/>
      <c r="G25" s="279"/>
      <c r="H25" s="279"/>
      <c r="I25" s="279"/>
      <c r="J25" s="279"/>
      <c r="K25" s="279"/>
      <c r="L25" s="279"/>
      <c r="M25" s="279"/>
      <c r="N25" s="279"/>
      <c r="O25" s="279"/>
      <c r="P25" s="279"/>
      <c r="Q25" s="279"/>
      <c r="R25" s="279"/>
      <c r="S25" s="279"/>
      <c r="T25" s="279"/>
      <c r="U25" s="279"/>
      <c r="V25" s="279"/>
      <c r="W25" s="279"/>
      <c r="X25" s="279"/>
      <c r="Y25" s="279"/>
      <c r="Z25" s="279"/>
      <c r="AA25" s="279"/>
      <c r="AB25" s="280"/>
      <c r="BQ25" s="111"/>
    </row>
    <row r="26" spans="1:69" ht="12.75" customHeight="1">
      <c r="A26" s="109"/>
      <c r="C26" s="278"/>
      <c r="D26" s="279"/>
      <c r="E26" s="279"/>
      <c r="F26" s="280"/>
      <c r="G26" s="279"/>
      <c r="H26" s="279"/>
      <c r="I26" s="279"/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  <c r="Z26" s="279"/>
      <c r="AA26" s="279"/>
      <c r="AB26" s="280"/>
      <c r="BQ26" s="111"/>
    </row>
    <row r="27" spans="1:69" ht="12.75" customHeight="1">
      <c r="A27" s="109"/>
      <c r="BQ27" s="111"/>
    </row>
    <row r="28" spans="1:69" ht="12.75" customHeight="1">
      <c r="A28" s="109"/>
      <c r="C28" s="20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Q28" s="111"/>
    </row>
    <row r="29" spans="1:69" ht="12.75" customHeight="1">
      <c r="A29" s="109"/>
      <c r="BQ29" s="111"/>
    </row>
    <row r="30" spans="1:69" ht="12.75" customHeight="1">
      <c r="A30" s="109"/>
      <c r="C30" s="116" t="s">
        <v>37</v>
      </c>
      <c r="BQ30" s="111"/>
    </row>
    <row r="31" spans="1:69" ht="12.75" customHeight="1">
      <c r="A31" s="109"/>
      <c r="BQ31" s="111"/>
    </row>
    <row r="32" spans="1:69" ht="12.75" customHeight="1">
      <c r="A32" s="109"/>
      <c r="C32" s="281" t="s">
        <v>491</v>
      </c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  <c r="AF32" s="281"/>
      <c r="AG32" s="281"/>
      <c r="AH32" s="281"/>
      <c r="AI32" s="281"/>
      <c r="AJ32" s="281"/>
      <c r="AK32" s="281"/>
      <c r="AL32" s="281"/>
      <c r="AM32" s="281"/>
      <c r="AN32" s="281"/>
      <c r="AO32" s="281"/>
      <c r="AP32" s="281"/>
      <c r="AQ32" s="281"/>
      <c r="AR32" s="281"/>
      <c r="AS32" s="281"/>
      <c r="AT32" s="281"/>
      <c r="AU32" s="281"/>
      <c r="AV32" s="281"/>
      <c r="AW32" s="281"/>
      <c r="AX32" s="281"/>
      <c r="AY32" s="281"/>
      <c r="AZ32" s="281"/>
      <c r="BA32" s="281"/>
      <c r="BB32" s="281"/>
      <c r="BC32" s="281"/>
      <c r="BD32" s="281"/>
      <c r="BE32" s="281"/>
      <c r="BF32" s="281"/>
      <c r="BG32" s="281"/>
      <c r="BH32" s="281"/>
      <c r="BI32" s="281"/>
      <c r="BJ32" s="281"/>
      <c r="BK32" s="281"/>
      <c r="BL32" s="281"/>
      <c r="BM32" s="281"/>
      <c r="BN32" s="281"/>
      <c r="BO32" s="281"/>
      <c r="BQ32" s="111"/>
    </row>
    <row r="33" spans="1:69" s="21" customFormat="1" ht="12.75" customHeight="1">
      <c r="A33" s="109"/>
      <c r="B33" s="110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281"/>
      <c r="AK33" s="281"/>
      <c r="AL33" s="281"/>
      <c r="AM33" s="281"/>
      <c r="AN33" s="281"/>
      <c r="AO33" s="281"/>
      <c r="AP33" s="281"/>
      <c r="AQ33" s="281"/>
      <c r="AR33" s="281"/>
      <c r="AS33" s="281"/>
      <c r="AT33" s="281"/>
      <c r="AU33" s="281"/>
      <c r="AV33" s="281"/>
      <c r="AW33" s="281"/>
      <c r="AX33" s="281"/>
      <c r="AY33" s="281"/>
      <c r="AZ33" s="281"/>
      <c r="BA33" s="281"/>
      <c r="BB33" s="281"/>
      <c r="BC33" s="281"/>
      <c r="BD33" s="281"/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110"/>
      <c r="BQ33" s="111"/>
    </row>
    <row r="34" spans="1:69" s="21" customFormat="1" ht="12.75" customHeight="1">
      <c r="A34" s="109"/>
      <c r="B34" s="110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  <c r="AF34" s="281"/>
      <c r="AG34" s="281"/>
      <c r="AH34" s="281"/>
      <c r="AI34" s="281"/>
      <c r="AJ34" s="281"/>
      <c r="AK34" s="281"/>
      <c r="AL34" s="281"/>
      <c r="AM34" s="281"/>
      <c r="AN34" s="281"/>
      <c r="AO34" s="281"/>
      <c r="AP34" s="281"/>
      <c r="AQ34" s="281"/>
      <c r="AR34" s="281"/>
      <c r="AS34" s="281"/>
      <c r="AT34" s="281"/>
      <c r="AU34" s="281"/>
      <c r="AV34" s="281"/>
      <c r="AW34" s="281"/>
      <c r="AX34" s="281"/>
      <c r="AY34" s="281"/>
      <c r="AZ34" s="281"/>
      <c r="BA34" s="281"/>
      <c r="BB34" s="281"/>
      <c r="BC34" s="281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110"/>
      <c r="BQ34" s="111"/>
    </row>
    <row r="35" spans="1:69" s="21" customFormat="1" ht="12.75" customHeight="1">
      <c r="A35" s="109"/>
      <c r="B35" s="110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  <c r="AG35" s="281"/>
      <c r="AH35" s="281"/>
      <c r="AI35" s="281"/>
      <c r="AJ35" s="281"/>
      <c r="AK35" s="281"/>
      <c r="AL35" s="281"/>
      <c r="AM35" s="281"/>
      <c r="AN35" s="281"/>
      <c r="AO35" s="281"/>
      <c r="AP35" s="281"/>
      <c r="AQ35" s="281"/>
      <c r="AR35" s="281"/>
      <c r="AS35" s="281"/>
      <c r="AT35" s="281"/>
      <c r="AU35" s="281"/>
      <c r="AV35" s="281"/>
      <c r="AW35" s="281"/>
      <c r="AX35" s="281"/>
      <c r="AY35" s="281"/>
      <c r="AZ35" s="281"/>
      <c r="BA35" s="281"/>
      <c r="BB35" s="281"/>
      <c r="BC35" s="281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110"/>
      <c r="BQ35" s="111"/>
    </row>
    <row r="36" spans="1:69" s="21" customFormat="1" ht="12.75" customHeight="1">
      <c r="A36" s="109"/>
      <c r="B36" s="110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281"/>
      <c r="AK36" s="281"/>
      <c r="AL36" s="281"/>
      <c r="AM36" s="281"/>
      <c r="AN36" s="281"/>
      <c r="AO36" s="281"/>
      <c r="AP36" s="281"/>
      <c r="AQ36" s="281"/>
      <c r="AR36" s="281"/>
      <c r="AS36" s="281"/>
      <c r="AT36" s="281"/>
      <c r="AU36" s="281"/>
      <c r="AV36" s="281"/>
      <c r="AW36" s="281"/>
      <c r="AX36" s="281"/>
      <c r="AY36" s="281"/>
      <c r="AZ36" s="281"/>
      <c r="BA36" s="281"/>
      <c r="BB36" s="281"/>
      <c r="BC36" s="281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110"/>
      <c r="BQ36" s="111"/>
    </row>
    <row r="37" spans="1:69" s="21" customFormat="1" ht="12.75" customHeight="1">
      <c r="A37" s="109"/>
      <c r="B37" s="110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281"/>
      <c r="AK37" s="281"/>
      <c r="AL37" s="281"/>
      <c r="AM37" s="281"/>
      <c r="AN37" s="281"/>
      <c r="AO37" s="281"/>
      <c r="AP37" s="281"/>
      <c r="AQ37" s="281"/>
      <c r="AR37" s="281"/>
      <c r="AS37" s="281"/>
      <c r="AT37" s="281"/>
      <c r="AU37" s="281"/>
      <c r="AV37" s="281"/>
      <c r="AW37" s="281"/>
      <c r="AX37" s="281"/>
      <c r="AY37" s="281"/>
      <c r="AZ37" s="281"/>
      <c r="BA37" s="281"/>
      <c r="BB37" s="281"/>
      <c r="BC37" s="281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110"/>
      <c r="BQ37" s="111"/>
    </row>
    <row r="38" spans="1:69" s="117" customFormat="1" ht="12.75" customHeight="1">
      <c r="A38" s="109"/>
      <c r="B38" s="110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281"/>
      <c r="AK38" s="281"/>
      <c r="AL38" s="281"/>
      <c r="AM38" s="281"/>
      <c r="AN38" s="281"/>
      <c r="AO38" s="281"/>
      <c r="AP38" s="281"/>
      <c r="AQ38" s="281"/>
      <c r="AR38" s="281"/>
      <c r="AS38" s="281"/>
      <c r="AT38" s="281"/>
      <c r="AU38" s="281"/>
      <c r="AV38" s="281"/>
      <c r="AW38" s="281"/>
      <c r="AX38" s="281"/>
      <c r="AY38" s="281"/>
      <c r="AZ38" s="281"/>
      <c r="BA38" s="281"/>
      <c r="BB38" s="281"/>
      <c r="BC38" s="281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110"/>
      <c r="BQ38" s="111"/>
    </row>
    <row r="39" spans="1:69" s="117" customFormat="1" ht="11.25" customHeight="1">
      <c r="A39" s="109"/>
      <c r="B39" s="110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281"/>
      <c r="AK39" s="281"/>
      <c r="AL39" s="281"/>
      <c r="AM39" s="281"/>
      <c r="AN39" s="281"/>
      <c r="AO39" s="281"/>
      <c r="AP39" s="281"/>
      <c r="AQ39" s="281"/>
      <c r="AR39" s="281"/>
      <c r="AS39" s="281"/>
      <c r="AT39" s="281"/>
      <c r="AU39" s="281"/>
      <c r="AV39" s="281"/>
      <c r="AW39" s="281"/>
      <c r="AX39" s="281"/>
      <c r="AY39" s="281"/>
      <c r="AZ39" s="281"/>
      <c r="BA39" s="281"/>
      <c r="BB39" s="281"/>
      <c r="BC39" s="281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110"/>
      <c r="BQ39" s="111"/>
    </row>
    <row r="40" spans="1:69">
      <c r="A40" s="109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281"/>
      <c r="AK40" s="281"/>
      <c r="AL40" s="281"/>
      <c r="AM40" s="281"/>
      <c r="AN40" s="281"/>
      <c r="AO40" s="281"/>
      <c r="AP40" s="281"/>
      <c r="AQ40" s="281"/>
      <c r="AR40" s="281"/>
      <c r="AS40" s="281"/>
      <c r="AT40" s="281"/>
      <c r="AU40" s="281"/>
      <c r="AV40" s="281"/>
      <c r="AW40" s="281"/>
      <c r="AX40" s="281"/>
      <c r="AY40" s="281"/>
      <c r="AZ40" s="281"/>
      <c r="BA40" s="281"/>
      <c r="BB40" s="281"/>
      <c r="BC40" s="281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Q40" s="111"/>
    </row>
    <row r="41" spans="1:69">
      <c r="A41" s="109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281"/>
      <c r="AK41" s="281"/>
      <c r="AL41" s="281"/>
      <c r="AM41" s="281"/>
      <c r="AN41" s="281"/>
      <c r="AO41" s="281"/>
      <c r="AP41" s="281"/>
      <c r="AQ41" s="281"/>
      <c r="AR41" s="281"/>
      <c r="AS41" s="281"/>
      <c r="AT41" s="281"/>
      <c r="AU41" s="281"/>
      <c r="AV41" s="281"/>
      <c r="AW41" s="281"/>
      <c r="AX41" s="281"/>
      <c r="AY41" s="281"/>
      <c r="AZ41" s="281"/>
      <c r="BA41" s="281"/>
      <c r="BB41" s="281"/>
      <c r="BC41" s="281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Q41" s="111"/>
    </row>
    <row r="42" spans="1:69">
      <c r="A42" s="109"/>
      <c r="C42" s="281"/>
      <c r="D42" s="281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281"/>
      <c r="AK42" s="281"/>
      <c r="AL42" s="281"/>
      <c r="AM42" s="281"/>
      <c r="AN42" s="281"/>
      <c r="AO42" s="281"/>
      <c r="AP42" s="281"/>
      <c r="AQ42" s="281"/>
      <c r="AR42" s="281"/>
      <c r="AS42" s="281"/>
      <c r="AT42" s="281"/>
      <c r="AU42" s="281"/>
      <c r="AV42" s="281"/>
      <c r="AW42" s="281"/>
      <c r="AX42" s="281"/>
      <c r="AY42" s="281"/>
      <c r="AZ42" s="281"/>
      <c r="BA42" s="281"/>
      <c r="BB42" s="281"/>
      <c r="BC42" s="281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Q42" s="111"/>
    </row>
    <row r="43" spans="1:69">
      <c r="A43" s="109"/>
      <c r="C43" s="281"/>
      <c r="D43" s="281"/>
      <c r="E43" s="281"/>
      <c r="F43" s="281"/>
      <c r="G43" s="281"/>
      <c r="H43" s="281"/>
      <c r="I43" s="281"/>
      <c r="J43" s="281"/>
      <c r="K43" s="281"/>
      <c r="L43" s="281"/>
      <c r="M43" s="281"/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  <c r="AI43" s="281"/>
      <c r="AJ43" s="281"/>
      <c r="AK43" s="281"/>
      <c r="AL43" s="281"/>
      <c r="AM43" s="281"/>
      <c r="AN43" s="281"/>
      <c r="AO43" s="281"/>
      <c r="AP43" s="281"/>
      <c r="AQ43" s="281"/>
      <c r="AR43" s="281"/>
      <c r="AS43" s="281"/>
      <c r="AT43" s="281"/>
      <c r="AU43" s="281"/>
      <c r="AV43" s="281"/>
      <c r="AW43" s="281"/>
      <c r="AX43" s="281"/>
      <c r="AY43" s="281"/>
      <c r="AZ43" s="281"/>
      <c r="BA43" s="281"/>
      <c r="BB43" s="281"/>
      <c r="BC43" s="281"/>
      <c r="BD43" s="281"/>
      <c r="BE43" s="281"/>
      <c r="BF43" s="281"/>
      <c r="BG43" s="281"/>
      <c r="BH43" s="281"/>
      <c r="BI43" s="281"/>
      <c r="BJ43" s="281"/>
      <c r="BK43" s="281"/>
      <c r="BL43" s="281"/>
      <c r="BM43" s="281"/>
      <c r="BN43" s="281"/>
      <c r="BO43" s="281"/>
      <c r="BQ43" s="111"/>
    </row>
    <row r="44" spans="1:69">
      <c r="A44" s="109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Q44" s="111"/>
    </row>
    <row r="45" spans="1:69">
      <c r="A45" s="109"/>
      <c r="C45" s="281"/>
      <c r="D45" s="281"/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  <c r="AF45" s="281"/>
      <c r="AG45" s="281"/>
      <c r="AH45" s="281"/>
      <c r="AI45" s="281"/>
      <c r="AJ45" s="281"/>
      <c r="AK45" s="281"/>
      <c r="AL45" s="281"/>
      <c r="AM45" s="281"/>
      <c r="AN45" s="281"/>
      <c r="AO45" s="281"/>
      <c r="AP45" s="281"/>
      <c r="AQ45" s="281"/>
      <c r="AR45" s="281"/>
      <c r="AS45" s="281"/>
      <c r="AT45" s="281"/>
      <c r="AU45" s="281"/>
      <c r="AV45" s="281"/>
      <c r="AW45" s="281"/>
      <c r="AX45" s="281"/>
      <c r="AY45" s="281"/>
      <c r="AZ45" s="281"/>
      <c r="BA45" s="281"/>
      <c r="BB45" s="281"/>
      <c r="BC45" s="281"/>
      <c r="BD45" s="281"/>
      <c r="BE45" s="281"/>
      <c r="BF45" s="281"/>
      <c r="BG45" s="281"/>
      <c r="BH45" s="281"/>
      <c r="BI45" s="281"/>
      <c r="BJ45" s="281"/>
      <c r="BK45" s="281"/>
      <c r="BL45" s="281"/>
      <c r="BM45" s="281"/>
      <c r="BN45" s="281"/>
      <c r="BO45" s="281"/>
      <c r="BQ45" s="111"/>
    </row>
    <row r="46" spans="1:69">
      <c r="A46" s="109"/>
      <c r="C46" s="281"/>
      <c r="D46" s="281"/>
      <c r="E46" s="281"/>
      <c r="F46" s="281"/>
      <c r="G46" s="281"/>
      <c r="H46" s="281"/>
      <c r="I46" s="281"/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  <c r="AF46" s="281"/>
      <c r="AG46" s="281"/>
      <c r="AH46" s="281"/>
      <c r="AI46" s="281"/>
      <c r="AJ46" s="281"/>
      <c r="AK46" s="281"/>
      <c r="AL46" s="281"/>
      <c r="AM46" s="281"/>
      <c r="AN46" s="281"/>
      <c r="AO46" s="281"/>
      <c r="AP46" s="281"/>
      <c r="AQ46" s="281"/>
      <c r="AR46" s="281"/>
      <c r="AS46" s="281"/>
      <c r="AT46" s="281"/>
      <c r="AU46" s="281"/>
      <c r="AV46" s="281"/>
      <c r="AW46" s="281"/>
      <c r="AX46" s="281"/>
      <c r="AY46" s="281"/>
      <c r="AZ46" s="281"/>
      <c r="BA46" s="281"/>
      <c r="BB46" s="281"/>
      <c r="BC46" s="281"/>
      <c r="BD46" s="281"/>
      <c r="BE46" s="281"/>
      <c r="BF46" s="281"/>
      <c r="BG46" s="281"/>
      <c r="BH46" s="281"/>
      <c r="BI46" s="281"/>
      <c r="BJ46" s="281"/>
      <c r="BK46" s="281"/>
      <c r="BL46" s="281"/>
      <c r="BM46" s="281"/>
      <c r="BN46" s="281"/>
      <c r="BO46" s="281"/>
      <c r="BQ46" s="111"/>
    </row>
    <row r="47" spans="1:69">
      <c r="A47" s="109"/>
      <c r="BQ47" s="111"/>
    </row>
    <row r="48" spans="1:69" ht="13.5" thickBot="1">
      <c r="A48" s="118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19"/>
      <c r="BE48" s="119"/>
      <c r="BF48" s="119"/>
      <c r="BG48" s="119"/>
      <c r="BH48" s="119"/>
      <c r="BI48" s="119"/>
      <c r="BJ48" s="119"/>
      <c r="BK48" s="119"/>
      <c r="BL48" s="119"/>
      <c r="BM48" s="119"/>
      <c r="BN48" s="119"/>
      <c r="BO48" s="119"/>
      <c r="BP48" s="119"/>
      <c r="BQ48" s="120"/>
    </row>
  </sheetData>
  <mergeCells count="43">
    <mergeCell ref="C16:F16"/>
    <mergeCell ref="G16:AB16"/>
    <mergeCell ref="C17:F17"/>
    <mergeCell ref="G17:AB17"/>
    <mergeCell ref="C13:F13"/>
    <mergeCell ref="G13:AB13"/>
    <mergeCell ref="C14:F14"/>
    <mergeCell ref="G14:AB14"/>
    <mergeCell ref="C15:F15"/>
    <mergeCell ref="G15:AB15"/>
    <mergeCell ref="C10:F10"/>
    <mergeCell ref="G10:AB10"/>
    <mergeCell ref="C11:F11"/>
    <mergeCell ref="G11:AB11"/>
    <mergeCell ref="C12:F12"/>
    <mergeCell ref="G12:AB12"/>
    <mergeCell ref="G6:AB6"/>
    <mergeCell ref="C6:F6"/>
    <mergeCell ref="C7:F7"/>
    <mergeCell ref="C9:F9"/>
    <mergeCell ref="G9:AB9"/>
    <mergeCell ref="G7:AB7"/>
    <mergeCell ref="C8:F8"/>
    <mergeCell ref="G8:AB8"/>
    <mergeCell ref="C22:F22"/>
    <mergeCell ref="G22:AB22"/>
    <mergeCell ref="C24:F24"/>
    <mergeCell ref="G24:AB24"/>
    <mergeCell ref="G20:AB20"/>
    <mergeCell ref="C18:F18"/>
    <mergeCell ref="G18:AB18"/>
    <mergeCell ref="C19:F19"/>
    <mergeCell ref="G19:AB19"/>
    <mergeCell ref="C21:F21"/>
    <mergeCell ref="G21:AB21"/>
    <mergeCell ref="C20:F20"/>
    <mergeCell ref="C26:F26"/>
    <mergeCell ref="G26:AB26"/>
    <mergeCell ref="C23:F23"/>
    <mergeCell ref="C32:BO46"/>
    <mergeCell ref="G23:AB23"/>
    <mergeCell ref="C25:F25"/>
    <mergeCell ref="G25:AB25"/>
  </mergeCells>
  <phoneticPr fontId="0" type="noConversion"/>
  <printOptions horizontalCentered="1" verticalCentered="1"/>
  <pageMargins left="0.19685039370078741" right="0.19685039370078741" top="0.59055118110236227" bottom="0.59055118110236227" header="0.19685039370078741" footer="0.19685039370078741"/>
  <pageSetup paperSize="9" scale="77" orientation="landscape" r:id="rId1"/>
  <headerFooter scaleWithDoc="0" alignWithMargins="0">
    <oddHeader>&amp;C&amp;A</oddHeader>
    <oddFooter>&amp;L&amp;F&amp;RPAGE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316D4-617A-4E6E-8F9B-6309966587CF}">
  <sheetPr>
    <pageSetUpPr fitToPage="1"/>
  </sheetPr>
  <dimension ref="A1:AS394"/>
  <sheetViews>
    <sheetView tabSelected="1" view="pageBreakPreview" topLeftCell="B72" zoomScaleNormal="100" zoomScaleSheetLayoutView="100" workbookViewId="0">
      <selection activeCell="AD81" sqref="AD81"/>
    </sheetView>
  </sheetViews>
  <sheetFormatPr defaultColWidth="8.85546875" defaultRowHeight="12.75"/>
  <cols>
    <col min="1" max="1" width="6.85546875" style="158" bestFit="1" customWidth="1"/>
    <col min="2" max="2" width="11.28515625" style="149" customWidth="1"/>
    <col min="3" max="3" width="20.42578125" style="52" bestFit="1" customWidth="1"/>
    <col min="4" max="4" width="12" style="150" bestFit="1" customWidth="1"/>
    <col min="5" max="5" width="10" style="52" customWidth="1"/>
    <col min="6" max="6" width="42.140625" style="21" bestFit="1" customWidth="1"/>
    <col min="7" max="7" width="19.140625" style="53" customWidth="1"/>
    <col min="8" max="8" width="4.7109375" style="52" bestFit="1" customWidth="1"/>
    <col min="9" max="9" width="1.42578125" style="52" bestFit="1" customWidth="1"/>
    <col min="10" max="10" width="4.7109375" style="52" bestFit="1" customWidth="1"/>
    <col min="11" max="11" width="13.7109375" style="52" hidden="1" customWidth="1"/>
    <col min="12" max="12" width="12" style="52" hidden="1" customWidth="1"/>
    <col min="13" max="13" width="13.7109375" style="52" hidden="1" customWidth="1"/>
    <col min="14" max="14" width="12" style="52" hidden="1" customWidth="1"/>
    <col min="15" max="15" width="13.7109375" style="52" hidden="1" customWidth="1"/>
    <col min="16" max="16" width="12" style="52" hidden="1" customWidth="1"/>
    <col min="17" max="17" width="3.85546875" style="52" bestFit="1" customWidth="1"/>
    <col min="18" max="18" width="5" style="52" bestFit="1" customWidth="1"/>
    <col min="19" max="19" width="8" style="52" customWidth="1"/>
    <col min="20" max="20" width="8" style="189" customWidth="1"/>
    <col min="21" max="22" width="8" style="179" customWidth="1"/>
    <col min="23" max="23" width="8" style="189" customWidth="1"/>
    <col min="24" max="24" width="15.42578125" style="52" bestFit="1" customWidth="1"/>
    <col min="25" max="25" width="13.7109375" style="52" bestFit="1" customWidth="1"/>
    <col min="26" max="26" width="5.85546875" style="52" customWidth="1"/>
    <col min="27" max="27" width="16.85546875" style="52" bestFit="1" customWidth="1"/>
    <col min="28" max="28" width="6.5703125" style="195" customWidth="1"/>
    <col min="29" max="29" width="16.85546875" style="198" customWidth="1"/>
    <col min="30" max="30" width="16.85546875" style="200" customWidth="1"/>
    <col min="31" max="31" width="8" style="21" bestFit="1" customWidth="1"/>
    <col min="32" max="33" width="3.42578125" style="21" bestFit="1" customWidth="1"/>
    <col min="34" max="34" width="3.28515625" style="21" bestFit="1" customWidth="1"/>
    <col min="35" max="35" width="3.7109375" style="21" bestFit="1" customWidth="1"/>
    <col min="36" max="36" width="4.140625" style="21" bestFit="1" customWidth="1"/>
    <col min="37" max="37" width="3.28515625" style="21" bestFit="1" customWidth="1"/>
    <col min="38" max="38" width="3.85546875" style="21" bestFit="1" customWidth="1"/>
    <col min="39" max="39" width="37.140625" style="21" customWidth="1"/>
    <col min="40" max="41" width="8.85546875" style="21"/>
    <col min="42" max="42" width="10" style="21" bestFit="1" customWidth="1"/>
    <col min="43" max="43" width="7.42578125" style="21" bestFit="1" customWidth="1"/>
    <col min="44" max="16384" width="8.85546875" style="21"/>
  </cols>
  <sheetData>
    <row r="1" spans="1:43" ht="19.5" customHeight="1" thickBot="1">
      <c r="A1" s="302" t="s">
        <v>38</v>
      </c>
      <c r="B1" s="302" t="s">
        <v>39</v>
      </c>
      <c r="C1" s="302" t="s">
        <v>40</v>
      </c>
      <c r="D1" s="296" t="s">
        <v>41</v>
      </c>
      <c r="E1" s="317" t="s">
        <v>42</v>
      </c>
      <c r="F1" s="307" t="s">
        <v>43</v>
      </c>
      <c r="G1" s="307" t="s">
        <v>44</v>
      </c>
      <c r="H1" s="309" t="s">
        <v>45</v>
      </c>
      <c r="I1" s="310"/>
      <c r="J1" s="310"/>
      <c r="K1" s="302" t="s">
        <v>46</v>
      </c>
      <c r="L1" s="302" t="s">
        <v>47</v>
      </c>
      <c r="M1" s="302" t="s">
        <v>48</v>
      </c>
      <c r="N1" s="302" t="s">
        <v>49</v>
      </c>
      <c r="O1" s="302" t="s">
        <v>50</v>
      </c>
      <c r="P1" s="302" t="s">
        <v>51</v>
      </c>
      <c r="Q1" s="313" t="s">
        <v>52</v>
      </c>
      <c r="R1" s="314"/>
      <c r="S1" s="317" t="s">
        <v>53</v>
      </c>
      <c r="T1" s="300" t="s">
        <v>54</v>
      </c>
      <c r="U1" s="298" t="s">
        <v>55</v>
      </c>
      <c r="V1" s="298" t="s">
        <v>56</v>
      </c>
      <c r="W1" s="300" t="s">
        <v>57</v>
      </c>
      <c r="X1" s="302" t="s">
        <v>58</v>
      </c>
      <c r="Y1" s="302" t="s">
        <v>59</v>
      </c>
      <c r="Z1" s="302" t="s">
        <v>60</v>
      </c>
      <c r="AA1" s="296" t="s">
        <v>61</v>
      </c>
      <c r="AB1" s="304" t="s">
        <v>62</v>
      </c>
      <c r="AC1" s="196"/>
      <c r="AD1" s="199"/>
      <c r="AE1" s="294" t="s">
        <v>63</v>
      </c>
      <c r="AF1" s="296" t="s">
        <v>64</v>
      </c>
      <c r="AG1" s="296" t="s">
        <v>65</v>
      </c>
    </row>
    <row r="2" spans="1:43" s="25" customFormat="1" ht="52.5" customHeight="1" thickBot="1">
      <c r="A2" s="303"/>
      <c r="B2" s="303"/>
      <c r="C2" s="303"/>
      <c r="D2" s="306"/>
      <c r="E2" s="318"/>
      <c r="F2" s="308"/>
      <c r="G2" s="308"/>
      <c r="H2" s="311"/>
      <c r="I2" s="311"/>
      <c r="J2" s="311"/>
      <c r="K2" s="312"/>
      <c r="L2" s="312"/>
      <c r="M2" s="303"/>
      <c r="N2" s="303"/>
      <c r="O2" s="303"/>
      <c r="P2" s="303"/>
      <c r="Q2" s="315"/>
      <c r="R2" s="316"/>
      <c r="S2" s="318"/>
      <c r="T2" s="301"/>
      <c r="U2" s="299"/>
      <c r="V2" s="299"/>
      <c r="W2" s="301"/>
      <c r="X2" s="303"/>
      <c r="Y2" s="303"/>
      <c r="Z2" s="303"/>
      <c r="AA2" s="306"/>
      <c r="AB2" s="305"/>
      <c r="AC2" s="197" t="s">
        <v>749</v>
      </c>
      <c r="AD2" s="199"/>
      <c r="AE2" s="295"/>
      <c r="AF2" s="297"/>
      <c r="AG2" s="297"/>
      <c r="AH2" s="23" t="s">
        <v>66</v>
      </c>
      <c r="AI2" s="24" t="s">
        <v>67</v>
      </c>
      <c r="AJ2" s="24" t="s">
        <v>68</v>
      </c>
      <c r="AK2" s="24" t="s">
        <v>69</v>
      </c>
      <c r="AL2" s="24" t="s">
        <v>70</v>
      </c>
      <c r="AM2" s="25" t="s">
        <v>71</v>
      </c>
      <c r="AP2" s="25" t="s">
        <v>72</v>
      </c>
    </row>
    <row r="3" spans="1:43" ht="12" customHeight="1">
      <c r="A3" s="160">
        <v>1</v>
      </c>
      <c r="B3" s="121" t="s">
        <v>319</v>
      </c>
      <c r="C3" s="160" t="s">
        <v>31</v>
      </c>
      <c r="D3" s="282" t="s">
        <v>73</v>
      </c>
      <c r="E3" s="5" t="s">
        <v>74</v>
      </c>
      <c r="F3" s="122" t="s">
        <v>320</v>
      </c>
      <c r="G3" s="35" t="s">
        <v>75</v>
      </c>
      <c r="H3" s="27" t="s">
        <v>11</v>
      </c>
      <c r="I3" s="28" t="s">
        <v>76</v>
      </c>
      <c r="J3" s="16" t="s">
        <v>492</v>
      </c>
      <c r="K3" s="1"/>
      <c r="L3" s="4"/>
      <c r="M3" s="4"/>
      <c r="N3" s="4"/>
      <c r="O3" s="4"/>
      <c r="P3" s="32"/>
      <c r="Q3" s="3">
        <v>0</v>
      </c>
      <c r="R3" s="4">
        <v>25</v>
      </c>
      <c r="S3" s="32" t="s">
        <v>318</v>
      </c>
      <c r="T3" s="180">
        <v>56</v>
      </c>
      <c r="U3" s="174"/>
      <c r="V3" s="174"/>
      <c r="W3" s="190">
        <v>10</v>
      </c>
      <c r="X3" s="5"/>
      <c r="Y3" s="5"/>
      <c r="Z3" s="161" t="s">
        <v>552</v>
      </c>
      <c r="AA3" s="151"/>
      <c r="AB3" s="285"/>
      <c r="AC3" s="30" t="s">
        <v>743</v>
      </c>
      <c r="AD3" s="10"/>
      <c r="AE3" s="158"/>
      <c r="AF3" s="158"/>
      <c r="AG3" s="7"/>
      <c r="AH3" s="21">
        <v>1</v>
      </c>
      <c r="AI3" s="21" t="s">
        <v>73</v>
      </c>
      <c r="AJ3" s="21" t="s">
        <v>77</v>
      </c>
      <c r="AL3" s="21" t="s">
        <v>33</v>
      </c>
      <c r="AM3" s="21" t="s">
        <v>78</v>
      </c>
      <c r="AP3" s="21" t="e">
        <f>IF(#REF!="","",LEFT(#REF!,FIND("-",#REF!)) &amp; IF(VALUE(MID(#REF!,FIND("-",#REF!)+1,4))&lt;1000,RIGHT("0000" &amp; MID(#REF!,FIND("-",#REF!)+1,4)+100,4),MID(#REF!,FIND("-",#REF!)+1,4)+1000))</f>
        <v>#REF!</v>
      </c>
      <c r="AQ3" s="21" t="e">
        <f>MID(#REF!,FIND("-",#REF!)+1,4)</f>
        <v>#REF!</v>
      </c>
    </row>
    <row r="4" spans="1:43" ht="12" customHeight="1">
      <c r="A4" s="160">
        <f t="shared" ref="A4:A67" si="0">A3+1</f>
        <v>2</v>
      </c>
      <c r="B4" s="123" t="s">
        <v>79</v>
      </c>
      <c r="C4" s="124" t="s">
        <v>31</v>
      </c>
      <c r="D4" s="283"/>
      <c r="E4" s="11" t="s">
        <v>74</v>
      </c>
      <c r="F4" s="122" t="s">
        <v>80</v>
      </c>
      <c r="G4" s="99" t="s">
        <v>524</v>
      </c>
      <c r="H4" s="44" t="s">
        <v>11</v>
      </c>
      <c r="I4" s="31" t="s">
        <v>76</v>
      </c>
      <c r="J4" s="5" t="s">
        <v>492</v>
      </c>
      <c r="K4" s="8"/>
      <c r="L4" s="10"/>
      <c r="M4" s="10"/>
      <c r="N4" s="10"/>
      <c r="O4" s="4"/>
      <c r="P4" s="32"/>
      <c r="Q4" s="171">
        <v>0</v>
      </c>
      <c r="R4" s="172">
        <v>100</v>
      </c>
      <c r="S4" s="173" t="s">
        <v>737</v>
      </c>
      <c r="T4" s="180"/>
      <c r="U4" s="174">
        <v>55</v>
      </c>
      <c r="V4" s="174">
        <v>30</v>
      </c>
      <c r="W4" s="190">
        <v>64</v>
      </c>
      <c r="X4" s="5"/>
      <c r="Y4" s="5"/>
      <c r="Z4" s="161" t="s">
        <v>553</v>
      </c>
      <c r="AA4" s="152"/>
      <c r="AB4" s="286"/>
      <c r="AC4" s="30" t="s">
        <v>746</v>
      </c>
      <c r="AD4" s="10"/>
      <c r="AE4" s="19"/>
      <c r="AF4" s="293"/>
      <c r="AG4" s="293"/>
      <c r="AH4" s="21">
        <v>1</v>
      </c>
      <c r="AI4" s="21" t="s">
        <v>73</v>
      </c>
      <c r="AJ4" s="21" t="s">
        <v>81</v>
      </c>
      <c r="AL4" s="21" t="s">
        <v>33</v>
      </c>
      <c r="AM4" s="21" t="s">
        <v>82</v>
      </c>
      <c r="AP4" s="21" t="e">
        <f>IF(#REF!="","",LEFT(#REF!,FIND("-",#REF!)) &amp; IF(VALUE(MID(#REF!,FIND("-",#REF!)+1,4))&lt;1000,RIGHT("0000" &amp; MID(#REF!,FIND("-",#REF!)+1,4)+100,4),MID(#REF!,FIND("-",#REF!)+1,4)+1000))</f>
        <v>#REF!</v>
      </c>
      <c r="AQ4" s="21" t="e">
        <f>MID(#REF!,FIND("-",#REF!)+1,4)</f>
        <v>#REF!</v>
      </c>
    </row>
    <row r="5" spans="1:43" ht="12" customHeight="1">
      <c r="A5" s="160">
        <f t="shared" si="0"/>
        <v>3</v>
      </c>
      <c r="B5" s="123"/>
      <c r="C5" s="124" t="s">
        <v>31</v>
      </c>
      <c r="D5" s="283"/>
      <c r="E5" s="11" t="s">
        <v>74</v>
      </c>
      <c r="F5" s="99" t="s">
        <v>83</v>
      </c>
      <c r="G5" s="99"/>
      <c r="H5" s="44"/>
      <c r="I5" s="31"/>
      <c r="J5" s="5"/>
      <c r="K5" s="8"/>
      <c r="L5" s="10"/>
      <c r="M5" s="10"/>
      <c r="N5" s="10"/>
      <c r="O5" s="4"/>
      <c r="P5" s="32"/>
      <c r="Q5" s="3"/>
      <c r="R5" s="4"/>
      <c r="S5" s="33"/>
      <c r="T5" s="180"/>
      <c r="U5" s="174"/>
      <c r="V5" s="174"/>
      <c r="W5" s="190"/>
      <c r="X5" s="5"/>
      <c r="Y5" s="5"/>
      <c r="Z5" s="161" t="s">
        <v>554</v>
      </c>
      <c r="AA5" s="152"/>
      <c r="AB5" s="286"/>
      <c r="AC5" s="30" t="s">
        <v>743</v>
      </c>
      <c r="AD5" s="10"/>
      <c r="AE5" s="19"/>
      <c r="AF5" s="293"/>
      <c r="AG5" s="293"/>
    </row>
    <row r="6" spans="1:43" s="48" customFormat="1" ht="12" customHeight="1" thickBot="1">
      <c r="A6" s="160">
        <f t="shared" si="0"/>
        <v>4</v>
      </c>
      <c r="B6" s="125"/>
      <c r="C6" s="124" t="s">
        <v>31</v>
      </c>
      <c r="D6" s="284"/>
      <c r="E6" s="11" t="s">
        <v>74</v>
      </c>
      <c r="F6" s="126" t="s">
        <v>83</v>
      </c>
      <c r="G6" s="99"/>
      <c r="H6" s="44"/>
      <c r="I6" s="31"/>
      <c r="J6" s="5"/>
      <c r="K6" s="8"/>
      <c r="L6" s="10"/>
      <c r="M6" s="10"/>
      <c r="N6" s="10"/>
      <c r="O6" s="10"/>
      <c r="P6" s="33"/>
      <c r="Q6" s="3"/>
      <c r="R6" s="4"/>
      <c r="S6" s="33"/>
      <c r="T6" s="181"/>
      <c r="U6" s="175"/>
      <c r="V6" s="175"/>
      <c r="W6" s="191"/>
      <c r="X6" s="11"/>
      <c r="Y6" s="11"/>
      <c r="Z6" s="162" t="s">
        <v>555</v>
      </c>
      <c r="AA6" s="152"/>
      <c r="AB6" s="286"/>
      <c r="AC6" s="30" t="s">
        <v>743</v>
      </c>
      <c r="AD6" s="10"/>
      <c r="AE6" s="47" t="s">
        <v>84</v>
      </c>
      <c r="AF6" s="293"/>
      <c r="AG6" s="293"/>
      <c r="AH6" s="48">
        <v>1</v>
      </c>
      <c r="AI6" s="48" t="s">
        <v>73</v>
      </c>
      <c r="AJ6" s="48" t="s">
        <v>85</v>
      </c>
      <c r="AL6" s="48" t="s">
        <v>33</v>
      </c>
      <c r="AM6" s="48" t="s">
        <v>86</v>
      </c>
      <c r="AP6" s="48" t="e">
        <f>IF(#REF!="","",LEFT(#REF!,FIND("-",#REF!)) &amp; IF(VALUE(MID(#REF!,FIND("-",#REF!)+1,4))&lt;1000,RIGHT("0000" &amp; MID(#REF!,FIND("-",#REF!)+1,4)+100,4),MID(#REF!,FIND("-",#REF!)+1,4)+1000))</f>
        <v>#REF!</v>
      </c>
      <c r="AQ6" s="48" t="e">
        <f>MID(#REF!,FIND("-",#REF!)+1,4)</f>
        <v>#REF!</v>
      </c>
    </row>
    <row r="7" spans="1:43" s="58" customFormat="1" ht="12" customHeight="1">
      <c r="A7" s="160">
        <f t="shared" si="0"/>
        <v>5</v>
      </c>
      <c r="B7" s="127" t="s">
        <v>321</v>
      </c>
      <c r="C7" s="128" t="s">
        <v>31</v>
      </c>
      <c r="D7" s="282" t="s">
        <v>738</v>
      </c>
      <c r="E7" s="16" t="s">
        <v>91</v>
      </c>
      <c r="F7" s="129" t="s">
        <v>98</v>
      </c>
      <c r="G7" s="26" t="s">
        <v>92</v>
      </c>
      <c r="H7" s="27" t="s">
        <v>11</v>
      </c>
      <c r="I7" s="28" t="s">
        <v>76</v>
      </c>
      <c r="J7" s="14" t="s">
        <v>492</v>
      </c>
      <c r="K7" s="15"/>
      <c r="L7" s="15"/>
      <c r="M7" s="15"/>
      <c r="N7" s="15"/>
      <c r="O7" s="15"/>
      <c r="P7" s="29"/>
      <c r="Q7" s="22">
        <v>0</v>
      </c>
      <c r="R7" s="15">
        <v>200</v>
      </c>
      <c r="S7" s="29" t="s">
        <v>316</v>
      </c>
      <c r="T7" s="182">
        <v>50</v>
      </c>
      <c r="U7" s="176">
        <v>55</v>
      </c>
      <c r="V7" s="176">
        <v>75</v>
      </c>
      <c r="W7" s="192">
        <v>80</v>
      </c>
      <c r="X7" s="16"/>
      <c r="Y7" s="16"/>
      <c r="Z7" s="163" t="s">
        <v>556</v>
      </c>
      <c r="AA7" s="151"/>
      <c r="AB7" s="285"/>
      <c r="AC7" s="30" t="s">
        <v>744</v>
      </c>
      <c r="AD7" s="10"/>
      <c r="AE7" s="56"/>
      <c r="AF7" s="56"/>
      <c r="AG7" s="57"/>
      <c r="AH7" s="58">
        <v>1</v>
      </c>
      <c r="AI7" s="58" t="s">
        <v>73</v>
      </c>
      <c r="AJ7" s="58" t="s">
        <v>77</v>
      </c>
      <c r="AL7" s="58" t="s">
        <v>33</v>
      </c>
      <c r="AM7" s="58" t="s">
        <v>78</v>
      </c>
      <c r="AP7" s="58" t="e">
        <f>IF(#REF!="","",LEFT(#REF!,FIND("-",#REF!)) &amp; IF(VALUE(MID(#REF!,FIND("-",#REF!)+1,4))&lt;1000,RIGHT("0000" &amp; MID(#REF!,FIND("-",#REF!)+1,4)+100,4),MID(#REF!,FIND("-",#REF!)+1,4)+1000))</f>
        <v>#REF!</v>
      </c>
      <c r="AQ7" s="58" t="e">
        <f>MID(#REF!,FIND("-",#REF!)+1,4)</f>
        <v>#REF!</v>
      </c>
    </row>
    <row r="8" spans="1:43" s="59" customFormat="1" ht="12" customHeight="1">
      <c r="A8" s="160">
        <f t="shared" si="0"/>
        <v>6</v>
      </c>
      <c r="B8" s="123" t="s">
        <v>322</v>
      </c>
      <c r="C8" s="124" t="s">
        <v>31</v>
      </c>
      <c r="D8" s="283"/>
      <c r="E8" s="5" t="s">
        <v>91</v>
      </c>
      <c r="F8" s="122" t="s">
        <v>547</v>
      </c>
      <c r="G8" s="99" t="s">
        <v>92</v>
      </c>
      <c r="H8" s="30" t="s">
        <v>11</v>
      </c>
      <c r="I8" s="31" t="s">
        <v>76</v>
      </c>
      <c r="J8" s="8" t="s">
        <v>492</v>
      </c>
      <c r="K8" s="10"/>
      <c r="L8" s="10"/>
      <c r="M8" s="10"/>
      <c r="N8" s="10"/>
      <c r="O8" s="4"/>
      <c r="P8" s="32"/>
      <c r="Q8" s="6">
        <v>0</v>
      </c>
      <c r="R8" s="10">
        <v>100</v>
      </c>
      <c r="S8" s="33" t="s">
        <v>316</v>
      </c>
      <c r="T8" s="180">
        <v>60</v>
      </c>
      <c r="U8" s="174">
        <v>65</v>
      </c>
      <c r="V8" s="174">
        <v>85</v>
      </c>
      <c r="W8" s="190">
        <v>90</v>
      </c>
      <c r="X8" s="5"/>
      <c r="Y8" s="5"/>
      <c r="Z8" s="161" t="s">
        <v>557</v>
      </c>
      <c r="AA8" s="152"/>
      <c r="AB8" s="286"/>
      <c r="AC8" s="30" t="s">
        <v>743</v>
      </c>
      <c r="AD8" s="10"/>
      <c r="AE8" s="54"/>
      <c r="AF8" s="290"/>
      <c r="AG8" s="290"/>
      <c r="AH8" s="59">
        <v>1</v>
      </c>
      <c r="AI8" s="59" t="s">
        <v>73</v>
      </c>
      <c r="AJ8" s="59" t="s">
        <v>81</v>
      </c>
      <c r="AL8" s="59" t="s">
        <v>33</v>
      </c>
      <c r="AM8" s="59" t="s">
        <v>82</v>
      </c>
      <c r="AP8" s="59" t="e">
        <f>IF(#REF!="","",LEFT(#REF!,FIND("-",#REF!)) &amp; IF(VALUE(MID(#REF!,FIND("-",#REF!)+1,4))&lt;1000,RIGHT("0000" &amp; MID(#REF!,FIND("-",#REF!)+1,4)+100,4),MID(#REF!,FIND("-",#REF!)+1,4)+1000))</f>
        <v>#REF!</v>
      </c>
      <c r="AQ8" s="59" t="e">
        <f>MID(#REF!,FIND("-",#REF!)+1,4)</f>
        <v>#REF!</v>
      </c>
    </row>
    <row r="9" spans="1:43" s="59" customFormat="1" ht="12" customHeight="1">
      <c r="A9" s="160">
        <f t="shared" si="0"/>
        <v>7</v>
      </c>
      <c r="B9" s="123" t="s">
        <v>323</v>
      </c>
      <c r="C9" s="124" t="s">
        <v>31</v>
      </c>
      <c r="D9" s="283"/>
      <c r="E9" s="5" t="s">
        <v>91</v>
      </c>
      <c r="F9" s="157" t="s">
        <v>548</v>
      </c>
      <c r="G9" s="99" t="s">
        <v>92</v>
      </c>
      <c r="H9" s="30" t="s">
        <v>13</v>
      </c>
      <c r="I9" s="31" t="s">
        <v>76</v>
      </c>
      <c r="J9" s="8" t="s">
        <v>492</v>
      </c>
      <c r="K9" s="10"/>
      <c r="L9" s="10"/>
      <c r="M9" s="10"/>
      <c r="N9" s="10"/>
      <c r="O9" s="4"/>
      <c r="P9" s="32"/>
      <c r="Q9" s="6">
        <v>0</v>
      </c>
      <c r="R9" s="10">
        <v>100</v>
      </c>
      <c r="S9" s="33" t="s">
        <v>316</v>
      </c>
      <c r="T9" s="180"/>
      <c r="U9" s="174">
        <v>55</v>
      </c>
      <c r="V9" s="174">
        <v>85</v>
      </c>
      <c r="W9" s="190">
        <v>64</v>
      </c>
      <c r="X9" s="5"/>
      <c r="Y9" s="5"/>
      <c r="Z9" s="161" t="s">
        <v>558</v>
      </c>
      <c r="AA9" s="152"/>
      <c r="AB9" s="286"/>
      <c r="AC9" s="30" t="s">
        <v>746</v>
      </c>
      <c r="AD9" s="10"/>
      <c r="AE9" s="54" t="s">
        <v>84</v>
      </c>
      <c r="AF9" s="290"/>
      <c r="AG9" s="290"/>
      <c r="AH9" s="59">
        <v>1</v>
      </c>
      <c r="AI9" s="59" t="s">
        <v>73</v>
      </c>
      <c r="AJ9" s="59" t="s">
        <v>93</v>
      </c>
      <c r="AL9" s="59" t="s">
        <v>33</v>
      </c>
      <c r="AM9" s="59" t="s">
        <v>94</v>
      </c>
      <c r="AP9" s="59" t="e">
        <f>IF(#REF!="","",LEFT(#REF!,FIND("-",#REF!)) &amp; IF(VALUE(MID(#REF!,FIND("-",#REF!)+1,4))&lt;1000,RIGHT("0000" &amp; MID(#REF!,FIND("-",#REF!)+1,4)+100,4),MID(#REF!,FIND("-",#REF!)+1,4)+1000))</f>
        <v>#REF!</v>
      </c>
      <c r="AQ9" s="59" t="e">
        <f>MID(#REF!,FIND("-",#REF!)+1,4)</f>
        <v>#REF!</v>
      </c>
    </row>
    <row r="10" spans="1:43" s="43" customFormat="1" ht="12" customHeight="1" thickBot="1">
      <c r="A10" s="160">
        <f t="shared" si="0"/>
        <v>8</v>
      </c>
      <c r="B10" s="130" t="s">
        <v>324</v>
      </c>
      <c r="C10" s="100" t="s">
        <v>31</v>
      </c>
      <c r="D10" s="283"/>
      <c r="E10" s="39" t="s">
        <v>91</v>
      </c>
      <c r="F10" s="101" t="s">
        <v>447</v>
      </c>
      <c r="G10" s="101" t="s">
        <v>92</v>
      </c>
      <c r="H10" s="60" t="s">
        <v>11</v>
      </c>
      <c r="I10" s="61" t="s">
        <v>76</v>
      </c>
      <c r="J10" s="62" t="s">
        <v>492</v>
      </c>
      <c r="K10" s="63"/>
      <c r="L10" s="63"/>
      <c r="M10" s="63"/>
      <c r="N10" s="63"/>
      <c r="O10" s="13"/>
      <c r="P10" s="41"/>
      <c r="Q10" s="64">
        <v>0</v>
      </c>
      <c r="R10" s="63">
        <v>200</v>
      </c>
      <c r="S10" s="65" t="s">
        <v>316</v>
      </c>
      <c r="T10" s="183"/>
      <c r="U10" s="177">
        <v>55</v>
      </c>
      <c r="V10" s="177">
        <v>80</v>
      </c>
      <c r="W10" s="193"/>
      <c r="X10" s="39"/>
      <c r="Y10" s="39"/>
      <c r="Z10" s="164" t="s">
        <v>559</v>
      </c>
      <c r="AA10" s="153"/>
      <c r="AB10" s="287"/>
      <c r="AC10" s="30" t="s">
        <v>743</v>
      </c>
      <c r="AD10" s="10"/>
      <c r="AE10" s="42" t="s">
        <v>84</v>
      </c>
      <c r="AF10" s="290"/>
      <c r="AG10" s="290"/>
      <c r="AH10" s="43">
        <v>1</v>
      </c>
      <c r="AI10" s="43" t="s">
        <v>73</v>
      </c>
      <c r="AJ10" s="43" t="s">
        <v>87</v>
      </c>
      <c r="AL10" s="43" t="s">
        <v>33</v>
      </c>
      <c r="AM10" s="43" t="s">
        <v>88</v>
      </c>
      <c r="AP10" s="43" t="e">
        <f>IF(#REF!="","",LEFT(#REF!,FIND("-",#REF!)) &amp; IF(VALUE(MID(#REF!,FIND("-",#REF!)+1,4))&lt;1000,RIGHT("0000" &amp; MID(#REF!,FIND("-",#REF!)+1,4)+100,4),MID(#REF!,FIND("-",#REF!)+1,4)+1000))</f>
        <v>#REF!</v>
      </c>
      <c r="AQ10" s="43" t="e">
        <f>MID(#REF!,FIND("-",#REF!)+1,4)</f>
        <v>#REF!</v>
      </c>
    </row>
    <row r="11" spans="1:43" s="59" customFormat="1" ht="12" customHeight="1">
      <c r="A11" s="160">
        <f t="shared" si="0"/>
        <v>9</v>
      </c>
      <c r="B11" s="121" t="s">
        <v>325</v>
      </c>
      <c r="C11" s="160" t="s">
        <v>31</v>
      </c>
      <c r="D11" s="282" t="s">
        <v>739</v>
      </c>
      <c r="E11" s="5" t="s">
        <v>91</v>
      </c>
      <c r="F11" s="35" t="s">
        <v>448</v>
      </c>
      <c r="G11" s="35" t="s">
        <v>92</v>
      </c>
      <c r="H11" s="44" t="s">
        <v>11</v>
      </c>
      <c r="I11" s="45" t="s">
        <v>76</v>
      </c>
      <c r="J11" s="1" t="s">
        <v>492</v>
      </c>
      <c r="K11" s="4" t="s">
        <v>95</v>
      </c>
      <c r="L11" s="4" t="s">
        <v>27</v>
      </c>
      <c r="M11" s="4" t="s">
        <v>33</v>
      </c>
      <c r="N11" s="4" t="s">
        <v>27</v>
      </c>
      <c r="O11" s="4"/>
      <c r="P11" s="32"/>
      <c r="Q11" s="3">
        <v>0</v>
      </c>
      <c r="R11" s="4">
        <v>200</v>
      </c>
      <c r="S11" s="32" t="s">
        <v>316</v>
      </c>
      <c r="T11" s="180">
        <v>45</v>
      </c>
      <c r="U11" s="174">
        <v>55</v>
      </c>
      <c r="V11" s="174">
        <v>80</v>
      </c>
      <c r="W11" s="190">
        <v>46</v>
      </c>
      <c r="X11" s="5"/>
      <c r="Y11" s="5"/>
      <c r="Z11" s="163" t="s">
        <v>560</v>
      </c>
      <c r="AA11" s="151"/>
      <c r="AB11" s="288"/>
      <c r="AC11" s="30" t="s">
        <v>744</v>
      </c>
      <c r="AD11" s="10"/>
      <c r="AE11" s="54" t="s">
        <v>84</v>
      </c>
      <c r="AF11" s="290"/>
      <c r="AG11" s="290"/>
      <c r="AH11" s="59">
        <v>1</v>
      </c>
      <c r="AI11" s="59" t="s">
        <v>73</v>
      </c>
      <c r="AJ11" s="59" t="s">
        <v>89</v>
      </c>
      <c r="AL11" s="59" t="s">
        <v>33</v>
      </c>
      <c r="AM11" s="59" t="s">
        <v>90</v>
      </c>
      <c r="AP11" s="59" t="e">
        <f>IF(#REF!="","",LEFT(#REF!,FIND("-",#REF!)) &amp; IF(VALUE(MID(#REF!,FIND("-",#REF!)+1,4))&lt;1000,RIGHT("0000" &amp; MID(#REF!,FIND("-",#REF!)+1,4)+100,4),MID(#REF!,FIND("-",#REF!)+1,4)+1000))</f>
        <v>#REF!</v>
      </c>
      <c r="AQ11" s="59" t="e">
        <f>MID(#REF!,FIND("-",#REF!)+1,4)</f>
        <v>#REF!</v>
      </c>
    </row>
    <row r="12" spans="1:43" s="59" customFormat="1" ht="12" customHeight="1">
      <c r="A12" s="160">
        <f t="shared" si="0"/>
        <v>10</v>
      </c>
      <c r="B12" s="123" t="s">
        <v>326</v>
      </c>
      <c r="C12" s="124" t="s">
        <v>31</v>
      </c>
      <c r="D12" s="283"/>
      <c r="E12" s="5" t="s">
        <v>91</v>
      </c>
      <c r="F12" s="122" t="s">
        <v>449</v>
      </c>
      <c r="G12" s="99" t="s">
        <v>92</v>
      </c>
      <c r="H12" s="30" t="s">
        <v>747</v>
      </c>
      <c r="I12" s="31" t="s">
        <v>76</v>
      </c>
      <c r="J12" s="8" t="s">
        <v>492</v>
      </c>
      <c r="K12" s="10" t="s">
        <v>95</v>
      </c>
      <c r="L12" s="10" t="s">
        <v>27</v>
      </c>
      <c r="M12" s="10" t="s">
        <v>33</v>
      </c>
      <c r="N12" s="10" t="s">
        <v>27</v>
      </c>
      <c r="O12" s="4"/>
      <c r="P12" s="32"/>
      <c r="Q12" s="6">
        <v>0</v>
      </c>
      <c r="R12" s="10">
        <v>200</v>
      </c>
      <c r="S12" s="33" t="s">
        <v>316</v>
      </c>
      <c r="T12" s="180">
        <v>46</v>
      </c>
      <c r="U12" s="174">
        <v>40</v>
      </c>
      <c r="V12" s="174">
        <v>80</v>
      </c>
      <c r="W12" s="190">
        <v>456</v>
      </c>
      <c r="X12" s="5"/>
      <c r="Y12" s="5"/>
      <c r="Z12" s="161" t="s">
        <v>562</v>
      </c>
      <c r="AA12" s="152"/>
      <c r="AB12" s="287"/>
      <c r="AC12" s="30" t="s">
        <v>744</v>
      </c>
      <c r="AD12" s="10"/>
      <c r="AE12" s="54"/>
      <c r="AF12" s="290"/>
      <c r="AG12" s="290"/>
      <c r="AH12" s="59">
        <v>1</v>
      </c>
      <c r="AI12" s="59" t="s">
        <v>73</v>
      </c>
      <c r="AJ12" s="59" t="s">
        <v>81</v>
      </c>
      <c r="AL12" s="59" t="s">
        <v>33</v>
      </c>
      <c r="AM12" s="59" t="s">
        <v>82</v>
      </c>
      <c r="AP12" s="59" t="e">
        <f>IF(#REF!="","",LEFT(#REF!,FIND("-",#REF!)) &amp; IF(VALUE(MID(#REF!,FIND("-",#REF!)+1,4))&lt;1000,RIGHT("0000" &amp; MID(#REF!,FIND("-",#REF!)+1,4)+100,4),MID(#REF!,FIND("-",#REF!)+1,4)+1000))</f>
        <v>#REF!</v>
      </c>
      <c r="AQ12" s="59" t="e">
        <f>MID(#REF!,FIND("-",#REF!)+1,4)</f>
        <v>#REF!</v>
      </c>
    </row>
    <row r="13" spans="1:43" s="59" customFormat="1" ht="12" customHeight="1">
      <c r="A13" s="160">
        <f t="shared" si="0"/>
        <v>11</v>
      </c>
      <c r="B13" s="123" t="s">
        <v>327</v>
      </c>
      <c r="C13" s="124" t="s">
        <v>31</v>
      </c>
      <c r="D13" s="283"/>
      <c r="E13" s="5" t="s">
        <v>91</v>
      </c>
      <c r="F13" s="122" t="s">
        <v>111</v>
      </c>
      <c r="G13" s="99" t="s">
        <v>92</v>
      </c>
      <c r="H13" s="30" t="s">
        <v>11</v>
      </c>
      <c r="I13" s="31" t="s">
        <v>76</v>
      </c>
      <c r="J13" s="8" t="s">
        <v>492</v>
      </c>
      <c r="K13" s="10" t="s">
        <v>95</v>
      </c>
      <c r="L13" s="10" t="s">
        <v>27</v>
      </c>
      <c r="M13" s="10" t="s">
        <v>33</v>
      </c>
      <c r="N13" s="10" t="s">
        <v>27</v>
      </c>
      <c r="O13" s="4"/>
      <c r="P13" s="32"/>
      <c r="Q13" s="6">
        <v>0</v>
      </c>
      <c r="R13" s="10">
        <v>200</v>
      </c>
      <c r="S13" s="33" t="s">
        <v>316</v>
      </c>
      <c r="T13" s="180">
        <v>46</v>
      </c>
      <c r="U13" s="174">
        <v>75</v>
      </c>
      <c r="V13" s="174"/>
      <c r="W13" s="190">
        <v>456</v>
      </c>
      <c r="X13" s="5"/>
      <c r="Y13" s="5"/>
      <c r="Z13" s="161" t="s">
        <v>561</v>
      </c>
      <c r="AA13" s="152"/>
      <c r="AB13" s="288"/>
      <c r="AC13" s="30" t="s">
        <v>744</v>
      </c>
      <c r="AD13" s="10"/>
      <c r="AE13" s="54" t="s">
        <v>84</v>
      </c>
      <c r="AF13" s="290"/>
      <c r="AG13" s="290"/>
      <c r="AH13" s="59">
        <v>1</v>
      </c>
      <c r="AI13" s="59" t="s">
        <v>73</v>
      </c>
      <c r="AJ13" s="59" t="s">
        <v>93</v>
      </c>
      <c r="AL13" s="59" t="s">
        <v>33</v>
      </c>
      <c r="AM13" s="59" t="s">
        <v>94</v>
      </c>
      <c r="AP13" s="59" t="e">
        <f>IF(#REF!="","",LEFT(#REF!,FIND("-",#REF!)) &amp; IF(VALUE(MID(#REF!,FIND("-",#REF!)+1,4))&lt;1000,RIGHT("0000" &amp; MID(#REF!,FIND("-",#REF!)+1,4)+100,4),MID(#REF!,FIND("-",#REF!)+1,4)+1000))</f>
        <v>#REF!</v>
      </c>
      <c r="AQ13" s="59" t="e">
        <f>MID(#REF!,FIND("-",#REF!)+1,4)</f>
        <v>#REF!</v>
      </c>
    </row>
    <row r="14" spans="1:43" s="43" customFormat="1" ht="12" customHeight="1" thickBot="1">
      <c r="A14" s="160">
        <f t="shared" si="0"/>
        <v>12</v>
      </c>
      <c r="B14" s="130"/>
      <c r="C14" s="100" t="s">
        <v>31</v>
      </c>
      <c r="D14" s="283"/>
      <c r="E14" s="39" t="s">
        <v>91</v>
      </c>
      <c r="F14" s="131" t="s">
        <v>83</v>
      </c>
      <c r="G14" s="101"/>
      <c r="H14" s="60"/>
      <c r="I14" s="61"/>
      <c r="J14" s="62"/>
      <c r="K14" s="63"/>
      <c r="L14" s="63"/>
      <c r="M14" s="63"/>
      <c r="N14" s="63"/>
      <c r="O14" s="13"/>
      <c r="P14" s="41"/>
      <c r="Q14" s="64"/>
      <c r="R14" s="63"/>
      <c r="S14" s="65"/>
      <c r="T14" s="183"/>
      <c r="U14" s="177"/>
      <c r="V14" s="177"/>
      <c r="W14" s="193"/>
      <c r="X14" s="39"/>
      <c r="Y14" s="39"/>
      <c r="Z14" s="164" t="s">
        <v>563</v>
      </c>
      <c r="AA14" s="153"/>
      <c r="AB14" s="289"/>
      <c r="AC14" s="30" t="s">
        <v>743</v>
      </c>
      <c r="AD14" s="10"/>
      <c r="AE14" s="42" t="s">
        <v>84</v>
      </c>
      <c r="AF14" s="40"/>
      <c r="AG14" s="40"/>
      <c r="AH14" s="43">
        <v>1</v>
      </c>
      <c r="AI14" s="43" t="s">
        <v>73</v>
      </c>
      <c r="AJ14" s="43" t="s">
        <v>96</v>
      </c>
      <c r="AL14" s="43" t="s">
        <v>33</v>
      </c>
      <c r="AM14" s="43" t="s">
        <v>97</v>
      </c>
      <c r="AP14" s="43" t="e">
        <f>IF(#REF!="","",LEFT(#REF!,FIND("-",#REF!)) &amp; IF(VALUE(MID(#REF!,FIND("-",#REF!)+1,4))&lt;1000,RIGHT("0000" &amp; MID(#REF!,FIND("-",#REF!)+1,4)+100,4),MID(#REF!,FIND("-",#REF!)+1,4)+1000))</f>
        <v>#REF!</v>
      </c>
      <c r="AQ14" s="43" t="e">
        <f>MID(#REF!,FIND("-",#REF!)+1,4)</f>
        <v>#REF!</v>
      </c>
    </row>
    <row r="15" spans="1:43" s="58" customFormat="1" ht="12" customHeight="1">
      <c r="A15" s="160">
        <f t="shared" si="0"/>
        <v>13</v>
      </c>
      <c r="B15" s="127" t="s">
        <v>328</v>
      </c>
      <c r="C15" s="128" t="s">
        <v>31</v>
      </c>
      <c r="D15" s="282" t="s">
        <v>740</v>
      </c>
      <c r="E15" s="16" t="s">
        <v>91</v>
      </c>
      <c r="F15" s="129" t="s">
        <v>450</v>
      </c>
      <c r="G15" s="99" t="s">
        <v>92</v>
      </c>
      <c r="H15" s="27" t="s">
        <v>11</v>
      </c>
      <c r="I15" s="28" t="s">
        <v>76</v>
      </c>
      <c r="J15" s="14" t="s">
        <v>492</v>
      </c>
      <c r="K15" s="15" t="s">
        <v>95</v>
      </c>
      <c r="L15" s="15" t="s">
        <v>27</v>
      </c>
      <c r="M15" s="15" t="s">
        <v>33</v>
      </c>
      <c r="N15" s="15" t="s">
        <v>27</v>
      </c>
      <c r="O15" s="15"/>
      <c r="P15" s="29"/>
      <c r="Q15" s="22">
        <v>0</v>
      </c>
      <c r="R15" s="15">
        <v>200</v>
      </c>
      <c r="S15" s="29" t="s">
        <v>316</v>
      </c>
      <c r="T15" s="182">
        <v>46</v>
      </c>
      <c r="U15" s="176">
        <v>85</v>
      </c>
      <c r="V15" s="176">
        <v>120</v>
      </c>
      <c r="W15" s="192"/>
      <c r="X15" s="16"/>
      <c r="Y15" s="16"/>
      <c r="Z15" s="163" t="s">
        <v>564</v>
      </c>
      <c r="AA15" s="151"/>
      <c r="AB15" s="285"/>
      <c r="AC15" s="30" t="s">
        <v>745</v>
      </c>
      <c r="AD15" s="10"/>
      <c r="AE15" s="56"/>
      <c r="AF15" s="56"/>
      <c r="AG15" s="57"/>
      <c r="AH15" s="58">
        <v>1</v>
      </c>
      <c r="AI15" s="58" t="s">
        <v>73</v>
      </c>
      <c r="AJ15" s="58" t="s">
        <v>99</v>
      </c>
      <c r="AL15" s="58" t="s">
        <v>33</v>
      </c>
      <c r="AM15" s="58" t="s">
        <v>100</v>
      </c>
      <c r="AP15" s="58" t="e">
        <f>IF(#REF!="","",LEFT(#REF!,FIND("-",#REF!)) &amp; IF(VALUE(MID(#REF!,FIND("-",#REF!)+1,4))&lt;1000,RIGHT("0000" &amp; MID(#REF!,FIND("-",#REF!)+1,4)+100,4),MID(#REF!,FIND("-",#REF!)+1,4)+1000))</f>
        <v>#REF!</v>
      </c>
      <c r="AQ15" s="58" t="e">
        <f>MID(#REF!,FIND("-",#REF!)+1,4)</f>
        <v>#REF!</v>
      </c>
    </row>
    <row r="16" spans="1:43" s="59" customFormat="1" ht="12" customHeight="1">
      <c r="A16" s="160">
        <f t="shared" si="0"/>
        <v>14</v>
      </c>
      <c r="B16" s="123" t="s">
        <v>329</v>
      </c>
      <c r="C16" s="124" t="s">
        <v>31</v>
      </c>
      <c r="D16" s="283"/>
      <c r="E16" s="5" t="s">
        <v>91</v>
      </c>
      <c r="F16" s="122" t="s">
        <v>451</v>
      </c>
      <c r="G16" s="99" t="s">
        <v>748</v>
      </c>
      <c r="H16" s="30" t="s">
        <v>11</v>
      </c>
      <c r="I16" s="31" t="s">
        <v>76</v>
      </c>
      <c r="J16" s="8" t="s">
        <v>492</v>
      </c>
      <c r="K16" s="10" t="s">
        <v>95</v>
      </c>
      <c r="L16" s="10" t="s">
        <v>27</v>
      </c>
      <c r="M16" s="10" t="s">
        <v>33</v>
      </c>
      <c r="N16" s="10" t="s">
        <v>27</v>
      </c>
      <c r="O16" s="4"/>
      <c r="P16" s="32"/>
      <c r="Q16" s="6">
        <v>0</v>
      </c>
      <c r="R16" s="10">
        <v>200</v>
      </c>
      <c r="S16" s="33" t="s">
        <v>316</v>
      </c>
      <c r="T16" s="180">
        <v>465</v>
      </c>
      <c r="U16" s="174">
        <v>80</v>
      </c>
      <c r="V16" s="174">
        <v>120</v>
      </c>
      <c r="W16" s="190">
        <v>64</v>
      </c>
      <c r="X16" s="5"/>
      <c r="Y16" s="5"/>
      <c r="Z16" s="161" t="s">
        <v>565</v>
      </c>
      <c r="AA16" s="152"/>
      <c r="AB16" s="286"/>
      <c r="AC16" s="30" t="s">
        <v>745</v>
      </c>
      <c r="AD16" s="10"/>
      <c r="AE16" s="54"/>
      <c r="AF16" s="290"/>
      <c r="AG16" s="290"/>
      <c r="AH16" s="59">
        <v>1</v>
      </c>
      <c r="AI16" s="59" t="s">
        <v>73</v>
      </c>
      <c r="AJ16" s="59" t="s">
        <v>101</v>
      </c>
      <c r="AL16" s="59" t="s">
        <v>33</v>
      </c>
      <c r="AM16" s="59" t="s">
        <v>102</v>
      </c>
      <c r="AP16" s="59" t="e">
        <f>IF(#REF!="","",LEFT(#REF!,FIND("-",#REF!)) &amp; IF(VALUE(MID(#REF!,FIND("-",#REF!)+1,4))&lt;1000,RIGHT("0000" &amp; MID(#REF!,FIND("-",#REF!)+1,4)+100,4),MID(#REF!,FIND("-",#REF!)+1,4)+1000))</f>
        <v>#REF!</v>
      </c>
      <c r="AQ16" s="59" t="e">
        <f>MID(#REF!,FIND("-",#REF!)+1,4)</f>
        <v>#REF!</v>
      </c>
    </row>
    <row r="17" spans="1:43" s="59" customFormat="1" ht="12" customHeight="1">
      <c r="A17" s="160">
        <f t="shared" si="0"/>
        <v>15</v>
      </c>
      <c r="B17" s="123" t="s">
        <v>330</v>
      </c>
      <c r="C17" s="124" t="s">
        <v>31</v>
      </c>
      <c r="D17" s="283"/>
      <c r="E17" s="5" t="s">
        <v>91</v>
      </c>
      <c r="F17" s="36" t="s">
        <v>452</v>
      </c>
      <c r="G17" s="99" t="s">
        <v>92</v>
      </c>
      <c r="H17" s="30" t="s">
        <v>11</v>
      </c>
      <c r="I17" s="31" t="s">
        <v>76</v>
      </c>
      <c r="J17" s="8" t="s">
        <v>492</v>
      </c>
      <c r="K17" s="10" t="s">
        <v>95</v>
      </c>
      <c r="L17" s="10" t="s">
        <v>27</v>
      </c>
      <c r="M17" s="10" t="s">
        <v>33</v>
      </c>
      <c r="N17" s="10" t="s">
        <v>27</v>
      </c>
      <c r="O17" s="4"/>
      <c r="P17" s="32"/>
      <c r="Q17" s="6">
        <v>0</v>
      </c>
      <c r="R17" s="10">
        <v>200</v>
      </c>
      <c r="S17" s="33" t="s">
        <v>316</v>
      </c>
      <c r="T17" s="180">
        <v>46</v>
      </c>
      <c r="U17" s="174">
        <v>80</v>
      </c>
      <c r="V17" s="174">
        <v>120</v>
      </c>
      <c r="W17" s="190">
        <v>64</v>
      </c>
      <c r="X17" s="5"/>
      <c r="Y17" s="5"/>
      <c r="Z17" s="161" t="s">
        <v>566</v>
      </c>
      <c r="AA17" s="152"/>
      <c r="AB17" s="286"/>
      <c r="AC17" s="30" t="s">
        <v>743</v>
      </c>
      <c r="AD17" s="10"/>
      <c r="AE17" s="54"/>
      <c r="AF17" s="290"/>
      <c r="AG17" s="290"/>
      <c r="AH17" s="59">
        <v>1</v>
      </c>
      <c r="AI17" s="59" t="s">
        <v>73</v>
      </c>
      <c r="AJ17" s="59" t="s">
        <v>103</v>
      </c>
      <c r="AL17" s="59" t="s">
        <v>33</v>
      </c>
      <c r="AM17" s="59" t="s">
        <v>104</v>
      </c>
      <c r="AP17" s="59" t="e">
        <f>IF(#REF!="","",LEFT(#REF!,FIND("-",#REF!)) &amp; IF(VALUE(MID(#REF!,FIND("-",#REF!)+1,4))&lt;1000,RIGHT("0000" &amp; MID(#REF!,FIND("-",#REF!)+1,4)+100,4),MID(#REF!,FIND("-",#REF!)+1,4)+1000))</f>
        <v>#REF!</v>
      </c>
      <c r="AQ17" s="59" t="e">
        <f>MID(#REF!,FIND("-",#REF!)+1,4)</f>
        <v>#REF!</v>
      </c>
    </row>
    <row r="18" spans="1:43" s="43" customFormat="1" ht="12" customHeight="1" thickBot="1">
      <c r="A18" s="160">
        <f t="shared" si="0"/>
        <v>16</v>
      </c>
      <c r="B18" s="130" t="s">
        <v>331</v>
      </c>
      <c r="C18" s="100" t="s">
        <v>31</v>
      </c>
      <c r="D18" s="283"/>
      <c r="E18" s="39" t="s">
        <v>91</v>
      </c>
      <c r="F18" s="131" t="s">
        <v>453</v>
      </c>
      <c r="G18" s="101" t="s">
        <v>92</v>
      </c>
      <c r="H18" s="60" t="s">
        <v>11</v>
      </c>
      <c r="I18" s="61" t="s">
        <v>76</v>
      </c>
      <c r="J18" s="62" t="s">
        <v>492</v>
      </c>
      <c r="K18" s="63" t="s">
        <v>95</v>
      </c>
      <c r="L18" s="63" t="s">
        <v>27</v>
      </c>
      <c r="M18" s="63" t="s">
        <v>33</v>
      </c>
      <c r="N18" s="63" t="s">
        <v>27</v>
      </c>
      <c r="O18" s="13"/>
      <c r="P18" s="41"/>
      <c r="Q18" s="64">
        <v>0</v>
      </c>
      <c r="R18" s="63">
        <v>200</v>
      </c>
      <c r="S18" s="65" t="s">
        <v>316</v>
      </c>
      <c r="T18" s="183"/>
      <c r="U18" s="177">
        <v>80</v>
      </c>
      <c r="V18" s="177">
        <v>120</v>
      </c>
      <c r="W18" s="193">
        <v>46</v>
      </c>
      <c r="X18" s="39"/>
      <c r="Y18" s="39"/>
      <c r="Z18" s="164" t="s">
        <v>567</v>
      </c>
      <c r="AA18" s="153"/>
      <c r="AB18" s="287"/>
      <c r="AC18" s="30" t="s">
        <v>743</v>
      </c>
      <c r="AD18" s="10"/>
      <c r="AE18" s="42"/>
      <c r="AF18" s="290"/>
      <c r="AG18" s="290"/>
      <c r="AH18" s="43">
        <v>1</v>
      </c>
      <c r="AI18" s="43" t="s">
        <v>73</v>
      </c>
      <c r="AJ18" s="43" t="s">
        <v>105</v>
      </c>
      <c r="AL18" s="43" t="s">
        <v>33</v>
      </c>
      <c r="AM18" s="43" t="s">
        <v>106</v>
      </c>
      <c r="AP18" s="43" t="e">
        <f>IF(#REF!="","",LEFT(#REF!,FIND("-",#REF!)) &amp; IF(VALUE(MID(#REF!,FIND("-",#REF!)+1,4))&lt;1000,RIGHT("0000" &amp; MID(#REF!,FIND("-",#REF!)+1,4)+100,4),MID(#REF!,FIND("-",#REF!)+1,4)+1000))</f>
        <v>#REF!</v>
      </c>
      <c r="AQ18" s="43" t="e">
        <f>MID(#REF!,FIND("-",#REF!)+1,4)</f>
        <v>#REF!</v>
      </c>
    </row>
    <row r="19" spans="1:43" s="59" customFormat="1" ht="12" customHeight="1">
      <c r="A19" s="160">
        <f t="shared" si="0"/>
        <v>17</v>
      </c>
      <c r="B19" s="121" t="s">
        <v>332</v>
      </c>
      <c r="C19" s="160" t="s">
        <v>31</v>
      </c>
      <c r="D19" s="282" t="s">
        <v>741</v>
      </c>
      <c r="E19" s="5" t="s">
        <v>91</v>
      </c>
      <c r="F19" s="35" t="s">
        <v>448</v>
      </c>
      <c r="G19" s="35" t="s">
        <v>92</v>
      </c>
      <c r="H19" s="44" t="s">
        <v>11</v>
      </c>
      <c r="I19" s="45" t="s">
        <v>76</v>
      </c>
      <c r="J19" s="1" t="s">
        <v>492</v>
      </c>
      <c r="K19" s="4" t="s">
        <v>95</v>
      </c>
      <c r="L19" s="4" t="s">
        <v>27</v>
      </c>
      <c r="M19" s="4" t="s">
        <v>33</v>
      </c>
      <c r="N19" s="4" t="s">
        <v>27</v>
      </c>
      <c r="O19" s="4"/>
      <c r="P19" s="32"/>
      <c r="Q19" s="3">
        <v>0</v>
      </c>
      <c r="R19" s="4">
        <v>200</v>
      </c>
      <c r="S19" s="32" t="s">
        <v>316</v>
      </c>
      <c r="T19" s="180">
        <v>64</v>
      </c>
      <c r="U19" s="174">
        <v>74</v>
      </c>
      <c r="V19" s="174">
        <v>46</v>
      </c>
      <c r="W19" s="190">
        <v>85</v>
      </c>
      <c r="X19" s="5"/>
      <c r="Y19" s="5"/>
      <c r="Z19" s="161" t="s">
        <v>568</v>
      </c>
      <c r="AA19" s="151"/>
      <c r="AB19" s="291"/>
      <c r="AC19" s="30" t="s">
        <v>743</v>
      </c>
      <c r="AD19" s="10"/>
      <c r="AE19" s="54"/>
      <c r="AF19" s="290"/>
      <c r="AG19" s="290"/>
      <c r="AH19" s="59">
        <v>1</v>
      </c>
      <c r="AI19" s="59" t="s">
        <v>73</v>
      </c>
      <c r="AJ19" s="59" t="s">
        <v>107</v>
      </c>
      <c r="AL19" s="59" t="s">
        <v>33</v>
      </c>
      <c r="AM19" s="59" t="s">
        <v>108</v>
      </c>
      <c r="AP19" s="59" t="e">
        <f>IF(#REF!="","",LEFT(#REF!,FIND("-",#REF!)) &amp; IF(VALUE(MID(#REF!,FIND("-",#REF!)+1,4))&lt;1000,RIGHT("0000" &amp; MID(#REF!,FIND("-",#REF!)+1,4)+100,4),MID(#REF!,FIND("-",#REF!)+1,4)+1000))</f>
        <v>#REF!</v>
      </c>
      <c r="AQ19" s="59" t="e">
        <f>MID(#REF!,FIND("-",#REF!)+1,4)</f>
        <v>#REF!</v>
      </c>
    </row>
    <row r="20" spans="1:43" s="59" customFormat="1" ht="12" customHeight="1">
      <c r="A20" s="160">
        <f t="shared" si="0"/>
        <v>18</v>
      </c>
      <c r="B20" s="123" t="s">
        <v>333</v>
      </c>
      <c r="C20" s="124" t="s">
        <v>31</v>
      </c>
      <c r="D20" s="283"/>
      <c r="E20" s="5" t="s">
        <v>91</v>
      </c>
      <c r="F20" s="122" t="s">
        <v>451</v>
      </c>
      <c r="G20" s="99" t="s">
        <v>92</v>
      </c>
      <c r="H20" s="30" t="s">
        <v>11</v>
      </c>
      <c r="I20" s="31" t="s">
        <v>76</v>
      </c>
      <c r="J20" s="8" t="s">
        <v>492</v>
      </c>
      <c r="K20" s="10" t="s">
        <v>95</v>
      </c>
      <c r="L20" s="10" t="s">
        <v>27</v>
      </c>
      <c r="M20" s="10" t="s">
        <v>33</v>
      </c>
      <c r="N20" s="10" t="s">
        <v>27</v>
      </c>
      <c r="O20" s="4"/>
      <c r="P20" s="32"/>
      <c r="Q20" s="6">
        <v>0</v>
      </c>
      <c r="R20" s="10">
        <v>200</v>
      </c>
      <c r="S20" s="33" t="s">
        <v>316</v>
      </c>
      <c r="T20" s="180">
        <v>64</v>
      </c>
      <c r="U20" s="174">
        <v>55</v>
      </c>
      <c r="V20" s="174">
        <v>34</v>
      </c>
      <c r="W20" s="190">
        <v>456</v>
      </c>
      <c r="X20" s="5"/>
      <c r="Y20" s="5"/>
      <c r="Z20" s="161" t="s">
        <v>569</v>
      </c>
      <c r="AA20" s="152"/>
      <c r="AB20" s="292"/>
      <c r="AC20" s="30" t="s">
        <v>743</v>
      </c>
      <c r="AD20" s="10"/>
      <c r="AE20" s="54"/>
      <c r="AF20" s="290"/>
      <c r="AG20" s="290"/>
      <c r="AH20" s="59">
        <v>1</v>
      </c>
      <c r="AI20" s="59" t="s">
        <v>73</v>
      </c>
      <c r="AJ20" s="59" t="s">
        <v>109</v>
      </c>
      <c r="AL20" s="59" t="s">
        <v>33</v>
      </c>
      <c r="AM20" s="59" t="s">
        <v>110</v>
      </c>
      <c r="AP20" s="59" t="e">
        <f>IF(#REF!="","",LEFT(#REF!,FIND("-",#REF!)) &amp; IF(VALUE(MID(#REF!,FIND("-",#REF!)+1,4))&lt;1000,RIGHT("0000" &amp; MID(#REF!,FIND("-",#REF!)+1,4)+100,4),MID(#REF!,FIND("-",#REF!)+1,4)+1000))</f>
        <v>#REF!</v>
      </c>
      <c r="AQ20" s="59" t="e">
        <f>MID(#REF!,FIND("-",#REF!)+1,4)</f>
        <v>#REF!</v>
      </c>
    </row>
    <row r="21" spans="1:43" s="59" customFormat="1" ht="12" customHeight="1">
      <c r="A21" s="160">
        <f t="shared" si="0"/>
        <v>19</v>
      </c>
      <c r="B21" s="123" t="s">
        <v>334</v>
      </c>
      <c r="C21" s="124" t="s">
        <v>31</v>
      </c>
      <c r="D21" s="283"/>
      <c r="E21" s="5" t="s">
        <v>91</v>
      </c>
      <c r="F21" s="122" t="s">
        <v>450</v>
      </c>
      <c r="G21" s="99" t="s">
        <v>92</v>
      </c>
      <c r="H21" s="30" t="s">
        <v>11</v>
      </c>
      <c r="I21" s="31" t="s">
        <v>76</v>
      </c>
      <c r="J21" s="8" t="s">
        <v>492</v>
      </c>
      <c r="K21" s="10"/>
      <c r="L21" s="10"/>
      <c r="M21" s="10"/>
      <c r="N21" s="10"/>
      <c r="O21" s="4"/>
      <c r="P21" s="32"/>
      <c r="Q21" s="6">
        <v>0</v>
      </c>
      <c r="R21" s="10">
        <v>200</v>
      </c>
      <c r="S21" s="33" t="s">
        <v>316</v>
      </c>
      <c r="T21" s="180"/>
      <c r="U21" s="174">
        <v>55</v>
      </c>
      <c r="V21" s="174">
        <v>67</v>
      </c>
      <c r="W21" s="190"/>
      <c r="X21" s="5"/>
      <c r="Y21" s="5"/>
      <c r="Z21" s="161" t="s">
        <v>570</v>
      </c>
      <c r="AA21" s="152"/>
      <c r="AB21" s="288"/>
      <c r="AC21" s="30" t="s">
        <v>746</v>
      </c>
      <c r="AD21" s="10"/>
      <c r="AE21" s="54" t="s">
        <v>112</v>
      </c>
      <c r="AF21" s="290"/>
      <c r="AG21" s="290"/>
      <c r="AH21" s="59">
        <v>1</v>
      </c>
      <c r="AI21" s="59" t="s">
        <v>73</v>
      </c>
      <c r="AJ21" s="59" t="s">
        <v>113</v>
      </c>
      <c r="AL21" s="59" t="s">
        <v>33</v>
      </c>
      <c r="AM21" s="59" t="s">
        <v>114</v>
      </c>
      <c r="AP21" s="59" t="e">
        <f>IF(#REF!="","",LEFT(#REF!,FIND("-",#REF!)) &amp; IF(VALUE(MID(#REF!,FIND("-",#REF!)+1,4))&lt;1000,RIGHT("0000" &amp; MID(#REF!,FIND("-",#REF!)+1,4)+100,4),MID(#REF!,FIND("-",#REF!)+1,4)+1000))</f>
        <v>#REF!</v>
      </c>
      <c r="AQ21" s="59" t="e">
        <f>MID(#REF!,FIND("-",#REF!)+1,4)</f>
        <v>#REF!</v>
      </c>
    </row>
    <row r="22" spans="1:43" s="43" customFormat="1" ht="12" customHeight="1" thickBot="1">
      <c r="A22" s="160">
        <f t="shared" si="0"/>
        <v>20</v>
      </c>
      <c r="B22" s="130"/>
      <c r="C22" s="100" t="s">
        <v>31</v>
      </c>
      <c r="D22" s="283"/>
      <c r="E22" s="39" t="s">
        <v>91</v>
      </c>
      <c r="F22" s="131" t="s">
        <v>83</v>
      </c>
      <c r="G22" s="101"/>
      <c r="H22" s="60"/>
      <c r="I22" s="61"/>
      <c r="J22" s="62"/>
      <c r="K22" s="63"/>
      <c r="L22" s="63"/>
      <c r="M22" s="63"/>
      <c r="N22" s="63"/>
      <c r="O22" s="13"/>
      <c r="P22" s="41"/>
      <c r="Q22" s="64"/>
      <c r="R22" s="63"/>
      <c r="S22" s="65"/>
      <c r="T22" s="183"/>
      <c r="U22" s="177"/>
      <c r="V22" s="177"/>
      <c r="W22" s="193"/>
      <c r="X22" s="39"/>
      <c r="Y22" s="39"/>
      <c r="Z22" s="164" t="s">
        <v>571</v>
      </c>
      <c r="AA22" s="153"/>
      <c r="AB22" s="289"/>
      <c r="AC22" s="30" t="s">
        <v>743</v>
      </c>
      <c r="AD22" s="10"/>
      <c r="AE22" s="42"/>
      <c r="AF22" s="40"/>
      <c r="AG22" s="40"/>
    </row>
    <row r="23" spans="1:43" s="58" customFormat="1" ht="12" customHeight="1">
      <c r="A23" s="160">
        <f t="shared" si="0"/>
        <v>21</v>
      </c>
      <c r="B23" s="127" t="s">
        <v>335</v>
      </c>
      <c r="C23" s="128" t="s">
        <v>31</v>
      </c>
      <c r="D23" s="282" t="s">
        <v>742</v>
      </c>
      <c r="E23" s="16" t="s">
        <v>91</v>
      </c>
      <c r="F23" s="129" t="s">
        <v>447</v>
      </c>
      <c r="G23" s="99" t="s">
        <v>92</v>
      </c>
      <c r="H23" s="27" t="s">
        <v>11</v>
      </c>
      <c r="I23" s="28" t="s">
        <v>76</v>
      </c>
      <c r="J23" s="14" t="s">
        <v>492</v>
      </c>
      <c r="K23" s="15"/>
      <c r="L23" s="15"/>
      <c r="M23" s="15"/>
      <c r="N23" s="15"/>
      <c r="O23" s="15"/>
      <c r="P23" s="29"/>
      <c r="Q23" s="22">
        <v>0</v>
      </c>
      <c r="R23" s="15">
        <v>200</v>
      </c>
      <c r="S23" s="29" t="s">
        <v>316</v>
      </c>
      <c r="T23" s="182"/>
      <c r="U23" s="176"/>
      <c r="V23" s="176"/>
      <c r="W23" s="192">
        <v>85</v>
      </c>
      <c r="X23" s="16"/>
      <c r="Y23" s="16"/>
      <c r="Z23" s="163" t="s">
        <v>572</v>
      </c>
      <c r="AA23" s="151"/>
      <c r="AB23" s="285"/>
      <c r="AC23" s="30" t="s">
        <v>745</v>
      </c>
      <c r="AD23" s="10"/>
      <c r="AE23" s="56"/>
      <c r="AF23" s="56"/>
      <c r="AG23" s="57"/>
    </row>
    <row r="24" spans="1:43" s="59" customFormat="1" ht="12" customHeight="1">
      <c r="A24" s="160">
        <f t="shared" si="0"/>
        <v>22</v>
      </c>
      <c r="B24" s="123" t="s">
        <v>336</v>
      </c>
      <c r="C24" s="124" t="s">
        <v>31</v>
      </c>
      <c r="D24" s="283"/>
      <c r="E24" s="5" t="s">
        <v>91</v>
      </c>
      <c r="F24" s="122" t="s">
        <v>337</v>
      </c>
      <c r="G24" s="99" t="s">
        <v>92</v>
      </c>
      <c r="H24" s="30" t="s">
        <v>11</v>
      </c>
      <c r="I24" s="31" t="s">
        <v>76</v>
      </c>
      <c r="J24" s="8" t="s">
        <v>492</v>
      </c>
      <c r="K24" s="10"/>
      <c r="L24" s="10"/>
      <c r="M24" s="10"/>
      <c r="N24" s="10"/>
      <c r="O24" s="4"/>
      <c r="P24" s="32"/>
      <c r="Q24" s="6">
        <v>0</v>
      </c>
      <c r="R24" s="10">
        <v>200</v>
      </c>
      <c r="S24" s="33" t="s">
        <v>316</v>
      </c>
      <c r="T24" s="180">
        <v>46</v>
      </c>
      <c r="U24" s="174">
        <v>456</v>
      </c>
      <c r="V24" s="174">
        <v>85</v>
      </c>
      <c r="W24" s="190">
        <v>46</v>
      </c>
      <c r="X24" s="5"/>
      <c r="Y24" s="5"/>
      <c r="Z24" s="161" t="s">
        <v>573</v>
      </c>
      <c r="AA24" s="152"/>
      <c r="AB24" s="286"/>
      <c r="AC24" s="30" t="s">
        <v>743</v>
      </c>
      <c r="AD24" s="10"/>
      <c r="AE24" s="54"/>
      <c r="AF24" s="290"/>
      <c r="AG24" s="290"/>
    </row>
    <row r="25" spans="1:43" s="59" customFormat="1" ht="12" customHeight="1">
      <c r="A25" s="160">
        <f t="shared" si="0"/>
        <v>23</v>
      </c>
      <c r="B25" s="123" t="s">
        <v>338</v>
      </c>
      <c r="C25" s="124" t="s">
        <v>31</v>
      </c>
      <c r="D25" s="283"/>
      <c r="E25" s="5" t="s">
        <v>91</v>
      </c>
      <c r="F25" s="122" t="s">
        <v>339</v>
      </c>
      <c r="G25" s="99" t="s">
        <v>92</v>
      </c>
      <c r="H25" s="30" t="s">
        <v>11</v>
      </c>
      <c r="I25" s="31" t="s">
        <v>76</v>
      </c>
      <c r="J25" s="8" t="s">
        <v>492</v>
      </c>
      <c r="K25" s="10"/>
      <c r="L25" s="10"/>
      <c r="M25" s="10"/>
      <c r="N25" s="10"/>
      <c r="O25" s="4"/>
      <c r="P25" s="32"/>
      <c r="Q25" s="6">
        <v>0</v>
      </c>
      <c r="R25" s="10">
        <v>200</v>
      </c>
      <c r="S25" s="33" t="s">
        <v>316</v>
      </c>
      <c r="T25" s="180">
        <v>46</v>
      </c>
      <c r="U25" s="174">
        <v>465</v>
      </c>
      <c r="V25" s="174">
        <v>85</v>
      </c>
      <c r="W25" s="190">
        <v>465</v>
      </c>
      <c r="X25" s="5"/>
      <c r="Y25" s="5"/>
      <c r="Z25" s="161" t="s">
        <v>574</v>
      </c>
      <c r="AA25" s="152"/>
      <c r="AB25" s="286"/>
      <c r="AC25" s="30" t="s">
        <v>743</v>
      </c>
      <c r="AD25" s="10"/>
      <c r="AE25" s="54"/>
      <c r="AF25" s="290"/>
      <c r="AG25" s="290"/>
    </row>
    <row r="26" spans="1:43" s="43" customFormat="1" ht="12" customHeight="1" thickBot="1">
      <c r="A26" s="160">
        <f t="shared" si="0"/>
        <v>24</v>
      </c>
      <c r="B26" s="130" t="s">
        <v>340</v>
      </c>
      <c r="C26" s="100" t="s">
        <v>31</v>
      </c>
      <c r="D26" s="283"/>
      <c r="E26" s="39" t="s">
        <v>91</v>
      </c>
      <c r="F26" s="131" t="s">
        <v>341</v>
      </c>
      <c r="G26" s="101" t="s">
        <v>92</v>
      </c>
      <c r="H26" s="60" t="s">
        <v>11</v>
      </c>
      <c r="I26" s="61" t="s">
        <v>76</v>
      </c>
      <c r="J26" s="62" t="s">
        <v>492</v>
      </c>
      <c r="K26" s="63"/>
      <c r="L26" s="63"/>
      <c r="M26" s="63"/>
      <c r="N26" s="63"/>
      <c r="O26" s="13"/>
      <c r="P26" s="41"/>
      <c r="Q26" s="64">
        <v>0</v>
      </c>
      <c r="R26" s="63">
        <v>200</v>
      </c>
      <c r="S26" s="65" t="s">
        <v>316</v>
      </c>
      <c r="T26" s="183">
        <v>465</v>
      </c>
      <c r="U26" s="177">
        <v>46</v>
      </c>
      <c r="V26" s="177">
        <v>85</v>
      </c>
      <c r="W26" s="193">
        <v>465</v>
      </c>
      <c r="X26" s="39"/>
      <c r="Y26" s="39"/>
      <c r="Z26" s="164" t="s">
        <v>575</v>
      </c>
      <c r="AA26" s="153"/>
      <c r="AB26" s="287"/>
      <c r="AC26" s="30" t="s">
        <v>745</v>
      </c>
      <c r="AD26" s="10"/>
      <c r="AE26" s="42"/>
      <c r="AF26" s="290"/>
      <c r="AG26" s="290"/>
    </row>
    <row r="27" spans="1:43" ht="12" customHeight="1">
      <c r="A27" s="160">
        <f t="shared" si="0"/>
        <v>25</v>
      </c>
      <c r="B27" s="132" t="s">
        <v>342</v>
      </c>
      <c r="C27" s="128" t="s">
        <v>31</v>
      </c>
      <c r="D27" s="282" t="s">
        <v>116</v>
      </c>
      <c r="E27" s="16" t="s">
        <v>117</v>
      </c>
      <c r="F27" s="133" t="s">
        <v>118</v>
      </c>
      <c r="G27" s="50" t="s">
        <v>119</v>
      </c>
      <c r="H27" s="27" t="s">
        <v>11</v>
      </c>
      <c r="I27" s="28" t="s">
        <v>76</v>
      </c>
      <c r="J27" s="14" t="s">
        <v>492</v>
      </c>
      <c r="K27" s="15" t="s">
        <v>95</v>
      </c>
      <c r="L27" s="15" t="s">
        <v>27</v>
      </c>
      <c r="M27" s="15" t="s">
        <v>33</v>
      </c>
      <c r="N27" s="15" t="s">
        <v>27</v>
      </c>
      <c r="O27" s="15"/>
      <c r="P27" s="29"/>
      <c r="Q27" s="3">
        <v>1.3</v>
      </c>
      <c r="R27" s="4">
        <v>7</v>
      </c>
      <c r="S27" s="32" t="s">
        <v>317</v>
      </c>
      <c r="T27" s="184">
        <v>1.3</v>
      </c>
      <c r="U27" s="174"/>
      <c r="V27" s="176"/>
      <c r="W27" s="192"/>
      <c r="X27" s="16" t="s">
        <v>454</v>
      </c>
      <c r="Y27" s="16" t="s">
        <v>457</v>
      </c>
      <c r="Z27" s="163" t="s">
        <v>576</v>
      </c>
      <c r="AA27" s="16"/>
      <c r="AB27" s="285"/>
      <c r="AC27" s="30" t="s">
        <v>743</v>
      </c>
      <c r="AD27" s="10" t="s">
        <v>750</v>
      </c>
      <c r="AE27" s="54" t="s">
        <v>120</v>
      </c>
      <c r="AF27" s="293"/>
      <c r="AG27" s="293"/>
      <c r="AH27" s="21">
        <v>1</v>
      </c>
      <c r="AI27" s="21" t="s">
        <v>116</v>
      </c>
      <c r="AJ27" s="21" t="s">
        <v>99</v>
      </c>
      <c r="AL27" s="21" t="s">
        <v>33</v>
      </c>
      <c r="AM27" s="21" t="s">
        <v>121</v>
      </c>
      <c r="AP2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28" spans="1:43" ht="12" customHeight="1">
      <c r="A28" s="160">
        <f t="shared" si="0"/>
        <v>26</v>
      </c>
      <c r="B28" s="134" t="s">
        <v>343</v>
      </c>
      <c r="C28" s="124" t="s">
        <v>31</v>
      </c>
      <c r="D28" s="283"/>
      <c r="E28" s="5" t="s">
        <v>117</v>
      </c>
      <c r="F28" s="99" t="s">
        <v>122</v>
      </c>
      <c r="G28" s="99" t="s">
        <v>119</v>
      </c>
      <c r="H28" s="30" t="s">
        <v>11</v>
      </c>
      <c r="I28" s="31" t="s">
        <v>76</v>
      </c>
      <c r="J28" s="8" t="s">
        <v>492</v>
      </c>
      <c r="K28" s="10" t="s">
        <v>95</v>
      </c>
      <c r="L28" s="10" t="s">
        <v>27</v>
      </c>
      <c r="M28" s="10" t="s">
        <v>33</v>
      </c>
      <c r="N28" s="10" t="s">
        <v>27</v>
      </c>
      <c r="O28" s="4"/>
      <c r="P28" s="32"/>
      <c r="Q28" s="3">
        <v>1.3</v>
      </c>
      <c r="R28" s="4">
        <v>7</v>
      </c>
      <c r="S28" s="32" t="s">
        <v>317</v>
      </c>
      <c r="T28" s="184">
        <v>1.3</v>
      </c>
      <c r="U28" s="174"/>
      <c r="V28" s="174"/>
      <c r="W28" s="190"/>
      <c r="X28" s="5" t="s">
        <v>454</v>
      </c>
      <c r="Y28" s="5" t="s">
        <v>457</v>
      </c>
      <c r="Z28" s="161" t="s">
        <v>577</v>
      </c>
      <c r="AA28" s="5"/>
      <c r="AB28" s="286"/>
      <c r="AC28" s="30" t="s">
        <v>746</v>
      </c>
      <c r="AD28" s="10" t="s">
        <v>750</v>
      </c>
      <c r="AE28" s="54" t="s">
        <v>120</v>
      </c>
      <c r="AF28" s="293"/>
      <c r="AG28" s="293"/>
      <c r="AH28" s="21">
        <v>1</v>
      </c>
      <c r="AI28" s="21" t="s">
        <v>116</v>
      </c>
      <c r="AJ28" s="21" t="s">
        <v>101</v>
      </c>
      <c r="AL28" s="21" t="s">
        <v>33</v>
      </c>
      <c r="AM28" s="21" t="s">
        <v>123</v>
      </c>
      <c r="AP2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29" spans="1:43" ht="12" customHeight="1">
      <c r="A29" s="160">
        <f t="shared" si="0"/>
        <v>27</v>
      </c>
      <c r="B29" s="134" t="s">
        <v>344</v>
      </c>
      <c r="C29" s="124" t="s">
        <v>31</v>
      </c>
      <c r="D29" s="283"/>
      <c r="E29" s="5" t="s">
        <v>117</v>
      </c>
      <c r="F29" s="99" t="s">
        <v>506</v>
      </c>
      <c r="G29" s="99" t="s">
        <v>119</v>
      </c>
      <c r="H29" s="30" t="s">
        <v>11</v>
      </c>
      <c r="I29" s="31" t="s">
        <v>76</v>
      </c>
      <c r="J29" s="8" t="s">
        <v>492</v>
      </c>
      <c r="K29" s="10" t="s">
        <v>95</v>
      </c>
      <c r="L29" s="10" t="s">
        <v>27</v>
      </c>
      <c r="M29" s="10" t="s">
        <v>33</v>
      </c>
      <c r="N29" s="10" t="s">
        <v>27</v>
      </c>
      <c r="O29" s="4"/>
      <c r="P29" s="32"/>
      <c r="Q29" s="3">
        <v>5.6</v>
      </c>
      <c r="R29" s="68">
        <v>119.5</v>
      </c>
      <c r="S29" s="32" t="s">
        <v>317</v>
      </c>
      <c r="T29" s="180"/>
      <c r="U29" s="174"/>
      <c r="V29" s="174"/>
      <c r="W29" s="190">
        <v>42</v>
      </c>
      <c r="X29" s="5" t="s">
        <v>454</v>
      </c>
      <c r="Y29" s="5" t="s">
        <v>457</v>
      </c>
      <c r="Z29" s="161" t="s">
        <v>578</v>
      </c>
      <c r="AA29" s="5"/>
      <c r="AB29" s="286"/>
      <c r="AC29" s="30" t="s">
        <v>743</v>
      </c>
      <c r="AD29" s="10" t="s">
        <v>751</v>
      </c>
      <c r="AE29" s="54" t="s">
        <v>120</v>
      </c>
      <c r="AF29" s="293"/>
      <c r="AG29" s="293"/>
      <c r="AH29" s="21">
        <v>1</v>
      </c>
      <c r="AI29" s="21" t="s">
        <v>116</v>
      </c>
      <c r="AJ29" s="21" t="s">
        <v>103</v>
      </c>
      <c r="AL29" s="21" t="s">
        <v>33</v>
      </c>
      <c r="AM29" s="21" t="s">
        <v>124</v>
      </c>
      <c r="AP2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0" spans="1:43" ht="12" customHeight="1">
      <c r="A30" s="160">
        <f t="shared" si="0"/>
        <v>28</v>
      </c>
      <c r="B30" s="134" t="s">
        <v>125</v>
      </c>
      <c r="C30" s="124" t="s">
        <v>31</v>
      </c>
      <c r="D30" s="283"/>
      <c r="E30" s="5" t="s">
        <v>117</v>
      </c>
      <c r="F30" s="99" t="s">
        <v>126</v>
      </c>
      <c r="G30" s="126" t="s">
        <v>127</v>
      </c>
      <c r="H30" s="30" t="s">
        <v>11</v>
      </c>
      <c r="I30" s="31" t="s">
        <v>76</v>
      </c>
      <c r="J30" s="8" t="s">
        <v>492</v>
      </c>
      <c r="K30" s="10" t="s">
        <v>95</v>
      </c>
      <c r="L30" s="10" t="s">
        <v>27</v>
      </c>
      <c r="M30" s="10" t="s">
        <v>33</v>
      </c>
      <c r="N30" s="10" t="s">
        <v>27</v>
      </c>
      <c r="O30" s="4"/>
      <c r="P30" s="32"/>
      <c r="Q30" s="3"/>
      <c r="R30" s="4"/>
      <c r="S30" s="32"/>
      <c r="T30" s="180"/>
      <c r="U30" s="174"/>
      <c r="V30" s="174"/>
      <c r="W30" s="190"/>
      <c r="X30" s="5" t="s">
        <v>454</v>
      </c>
      <c r="Y30" s="5" t="s">
        <v>457</v>
      </c>
      <c r="Z30" s="161" t="s">
        <v>579</v>
      </c>
      <c r="AA30" s="5"/>
      <c r="AB30" s="286"/>
      <c r="AC30" s="30" t="s">
        <v>743</v>
      </c>
      <c r="AD30" s="10" t="s">
        <v>751</v>
      </c>
      <c r="AE30" s="54" t="s">
        <v>120</v>
      </c>
      <c r="AF30" s="293"/>
      <c r="AG30" s="293"/>
      <c r="AH30" s="21">
        <v>1</v>
      </c>
      <c r="AI30" s="21" t="s">
        <v>116</v>
      </c>
      <c r="AJ30" s="21" t="s">
        <v>105</v>
      </c>
      <c r="AL30" s="21" t="s">
        <v>33</v>
      </c>
      <c r="AM30" s="21" t="s">
        <v>128</v>
      </c>
      <c r="AP3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1" spans="1:43" ht="12" customHeight="1">
      <c r="A31" s="160">
        <f t="shared" si="0"/>
        <v>29</v>
      </c>
      <c r="B31" s="134" t="s">
        <v>345</v>
      </c>
      <c r="C31" s="124" t="s">
        <v>31</v>
      </c>
      <c r="D31" s="283"/>
      <c r="E31" s="5" t="s">
        <v>117</v>
      </c>
      <c r="F31" s="99" t="s">
        <v>129</v>
      </c>
      <c r="G31" s="99" t="s">
        <v>119</v>
      </c>
      <c r="H31" s="30" t="s">
        <v>11</v>
      </c>
      <c r="I31" s="31" t="s">
        <v>76</v>
      </c>
      <c r="J31" s="8" t="s">
        <v>492</v>
      </c>
      <c r="K31" s="10" t="s">
        <v>95</v>
      </c>
      <c r="L31" s="10" t="s">
        <v>27</v>
      </c>
      <c r="M31" s="10" t="s">
        <v>33</v>
      </c>
      <c r="N31" s="10" t="s">
        <v>27</v>
      </c>
      <c r="O31" s="4"/>
      <c r="P31" s="32"/>
      <c r="Q31" s="3">
        <v>3.5</v>
      </c>
      <c r="R31" s="4">
        <v>35</v>
      </c>
      <c r="S31" s="32" t="s">
        <v>317</v>
      </c>
      <c r="T31" s="180">
        <v>20</v>
      </c>
      <c r="U31" s="174"/>
      <c r="V31" s="174"/>
      <c r="W31" s="190"/>
      <c r="X31" s="5" t="s">
        <v>454</v>
      </c>
      <c r="Y31" s="5" t="s">
        <v>457</v>
      </c>
      <c r="Z31" s="161" t="s">
        <v>580</v>
      </c>
      <c r="AA31" s="5"/>
      <c r="AB31" s="286"/>
      <c r="AC31" s="30" t="s">
        <v>744</v>
      </c>
      <c r="AD31" s="10" t="s">
        <v>750</v>
      </c>
      <c r="AE31" s="54" t="s">
        <v>120</v>
      </c>
      <c r="AF31" s="293"/>
      <c r="AG31" s="293"/>
      <c r="AH31" s="21">
        <v>1</v>
      </c>
      <c r="AI31" s="21" t="s">
        <v>116</v>
      </c>
      <c r="AJ31" s="21" t="s">
        <v>107</v>
      </c>
      <c r="AL31" s="21" t="s">
        <v>33</v>
      </c>
      <c r="AM31" s="21" t="s">
        <v>130</v>
      </c>
      <c r="AP3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2" spans="1:43" ht="12" customHeight="1">
      <c r="A32" s="160">
        <f t="shared" si="0"/>
        <v>30</v>
      </c>
      <c r="B32" s="134" t="s">
        <v>346</v>
      </c>
      <c r="C32" s="124" t="s">
        <v>31</v>
      </c>
      <c r="D32" s="283"/>
      <c r="E32" s="5" t="s">
        <v>117</v>
      </c>
      <c r="F32" s="99" t="s">
        <v>506</v>
      </c>
      <c r="G32" s="99" t="s">
        <v>119</v>
      </c>
      <c r="H32" s="30" t="s">
        <v>11</v>
      </c>
      <c r="I32" s="31" t="s">
        <v>76</v>
      </c>
      <c r="J32" s="8" t="s">
        <v>492</v>
      </c>
      <c r="K32" s="10" t="s">
        <v>95</v>
      </c>
      <c r="L32" s="10" t="s">
        <v>27</v>
      </c>
      <c r="M32" s="10" t="s">
        <v>33</v>
      </c>
      <c r="N32" s="10" t="s">
        <v>27</v>
      </c>
      <c r="O32" s="4"/>
      <c r="P32" s="32"/>
      <c r="Q32" s="3">
        <v>5.6</v>
      </c>
      <c r="R32" s="68">
        <v>119.5</v>
      </c>
      <c r="S32" s="32" t="s">
        <v>317</v>
      </c>
      <c r="T32" s="180"/>
      <c r="U32" s="174"/>
      <c r="V32" s="174">
        <v>41</v>
      </c>
      <c r="W32" s="190"/>
      <c r="X32" s="5" t="s">
        <v>455</v>
      </c>
      <c r="Y32" s="5" t="s">
        <v>457</v>
      </c>
      <c r="Z32" s="161" t="s">
        <v>581</v>
      </c>
      <c r="AA32" s="5"/>
      <c r="AB32" s="286"/>
      <c r="AC32" s="30" t="s">
        <v>743</v>
      </c>
      <c r="AD32" s="10" t="s">
        <v>752</v>
      </c>
      <c r="AE32" s="54" t="s">
        <v>120</v>
      </c>
      <c r="AF32" s="293"/>
      <c r="AG32" s="293"/>
      <c r="AH32" s="21">
        <v>1</v>
      </c>
      <c r="AI32" s="21" t="s">
        <v>116</v>
      </c>
      <c r="AJ32" s="21" t="s">
        <v>109</v>
      </c>
      <c r="AL32" s="21" t="s">
        <v>33</v>
      </c>
      <c r="AM32" s="21" t="s">
        <v>131</v>
      </c>
      <c r="AP32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3" spans="1:42" ht="12" customHeight="1">
      <c r="A33" s="160">
        <f t="shared" si="0"/>
        <v>31</v>
      </c>
      <c r="B33" s="134" t="s">
        <v>347</v>
      </c>
      <c r="C33" s="124" t="s">
        <v>31</v>
      </c>
      <c r="D33" s="283"/>
      <c r="E33" s="5" t="s">
        <v>117</v>
      </c>
      <c r="F33" s="99" t="s">
        <v>132</v>
      </c>
      <c r="G33" s="99" t="s">
        <v>133</v>
      </c>
      <c r="H33" s="30" t="s">
        <v>11</v>
      </c>
      <c r="I33" s="31" t="s">
        <v>76</v>
      </c>
      <c r="J33" s="8" t="s">
        <v>492</v>
      </c>
      <c r="K33" s="10" t="s">
        <v>95</v>
      </c>
      <c r="L33" s="10" t="s">
        <v>27</v>
      </c>
      <c r="M33" s="10" t="s">
        <v>33</v>
      </c>
      <c r="N33" s="10" t="s">
        <v>27</v>
      </c>
      <c r="O33" s="4"/>
      <c r="P33" s="32"/>
      <c r="Q33" s="3"/>
      <c r="R33" s="4"/>
      <c r="S33" s="32" t="s">
        <v>317</v>
      </c>
      <c r="T33" s="180"/>
      <c r="U33" s="174">
        <v>0.1</v>
      </c>
      <c r="V33" s="174"/>
      <c r="W33" s="190"/>
      <c r="X33" s="5" t="s">
        <v>455</v>
      </c>
      <c r="Y33" s="5" t="s">
        <v>457</v>
      </c>
      <c r="Z33" s="161" t="s">
        <v>582</v>
      </c>
      <c r="AA33" s="5"/>
      <c r="AB33" s="286"/>
      <c r="AC33" s="30" t="s">
        <v>746</v>
      </c>
      <c r="AD33" s="10" t="s">
        <v>753</v>
      </c>
      <c r="AE33" s="54" t="s">
        <v>120</v>
      </c>
      <c r="AF33" s="293"/>
      <c r="AG33" s="293"/>
      <c r="AH33" s="21">
        <v>1</v>
      </c>
      <c r="AI33" s="21" t="s">
        <v>116</v>
      </c>
      <c r="AJ33" s="21" t="s">
        <v>113</v>
      </c>
      <c r="AL33" s="21" t="s">
        <v>33</v>
      </c>
      <c r="AM33" s="21" t="s">
        <v>134</v>
      </c>
      <c r="AP3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4" spans="1:42" s="38" customFormat="1" ht="12" customHeight="1">
      <c r="A34" s="160">
        <f t="shared" si="0"/>
        <v>32</v>
      </c>
      <c r="B34" s="134" t="s">
        <v>348</v>
      </c>
      <c r="C34" s="124" t="s">
        <v>31</v>
      </c>
      <c r="D34" s="283"/>
      <c r="E34" s="5" t="s">
        <v>117</v>
      </c>
      <c r="F34" s="99" t="s">
        <v>135</v>
      </c>
      <c r="G34" s="99" t="s">
        <v>127</v>
      </c>
      <c r="H34" s="30" t="s">
        <v>11</v>
      </c>
      <c r="I34" s="31" t="s">
        <v>76</v>
      </c>
      <c r="J34" s="8" t="s">
        <v>492</v>
      </c>
      <c r="K34" s="10" t="s">
        <v>95</v>
      </c>
      <c r="L34" s="10" t="s">
        <v>27</v>
      </c>
      <c r="M34" s="10" t="s">
        <v>33</v>
      </c>
      <c r="N34" s="10" t="s">
        <v>27</v>
      </c>
      <c r="O34" s="10"/>
      <c r="P34" s="33"/>
      <c r="Q34" s="3"/>
      <c r="R34" s="4"/>
      <c r="S34" s="32"/>
      <c r="T34" s="181"/>
      <c r="U34" s="175"/>
      <c r="V34" s="175"/>
      <c r="W34" s="191"/>
      <c r="X34" s="11" t="s">
        <v>455</v>
      </c>
      <c r="Y34" s="11" t="s">
        <v>457</v>
      </c>
      <c r="Z34" s="162" t="s">
        <v>583</v>
      </c>
      <c r="AA34" s="11"/>
      <c r="AB34" s="286"/>
      <c r="AC34" s="30" t="s">
        <v>743</v>
      </c>
      <c r="AD34" s="10" t="s">
        <v>753</v>
      </c>
      <c r="AE34" s="37" t="s">
        <v>120</v>
      </c>
      <c r="AF34" s="293"/>
      <c r="AG34" s="293"/>
      <c r="AH34" s="38">
        <v>1</v>
      </c>
      <c r="AI34" s="38" t="s">
        <v>116</v>
      </c>
      <c r="AJ34" s="38" t="s">
        <v>115</v>
      </c>
      <c r="AL34" s="38" t="s">
        <v>33</v>
      </c>
      <c r="AM34" s="38" t="s">
        <v>136</v>
      </c>
      <c r="AP34" s="38" t="e">
        <f>IF(#REF!="","",LEFT(#REF!,FIND("-",#REF!)) &amp; IF(VALUE(MID(#REF!,FIND("-",#REF!)+1,4))&lt;1000,RIGHT("0000" &amp; MID(#REF!,FIND("-",#REF!)+1,4)+100,4),MID(#REF!,FIND("-",#REF!)+1,4)+1000))</f>
        <v>#REF!</v>
      </c>
    </row>
    <row r="35" spans="1:42" ht="12" customHeight="1">
      <c r="A35" s="160">
        <f t="shared" si="0"/>
        <v>33</v>
      </c>
      <c r="B35" s="135" t="s">
        <v>349</v>
      </c>
      <c r="C35" s="160" t="s">
        <v>31</v>
      </c>
      <c r="D35" s="283"/>
      <c r="E35" s="32" t="s">
        <v>117</v>
      </c>
      <c r="F35" s="122" t="s">
        <v>118</v>
      </c>
      <c r="G35" s="35" t="s">
        <v>119</v>
      </c>
      <c r="H35" s="44" t="s">
        <v>11</v>
      </c>
      <c r="I35" s="45" t="s">
        <v>76</v>
      </c>
      <c r="J35" s="1" t="s">
        <v>492</v>
      </c>
      <c r="K35" s="4" t="s">
        <v>95</v>
      </c>
      <c r="L35" s="4" t="s">
        <v>27</v>
      </c>
      <c r="M35" s="4" t="s">
        <v>33</v>
      </c>
      <c r="N35" s="4" t="s">
        <v>27</v>
      </c>
      <c r="O35" s="4"/>
      <c r="P35" s="32"/>
      <c r="Q35" s="3">
        <v>1.3</v>
      </c>
      <c r="R35" s="4">
        <v>7</v>
      </c>
      <c r="S35" s="32" t="s">
        <v>317</v>
      </c>
      <c r="T35" s="185"/>
      <c r="U35" s="174">
        <v>2</v>
      </c>
      <c r="V35" s="174"/>
      <c r="W35" s="190"/>
      <c r="X35" s="5" t="s">
        <v>455</v>
      </c>
      <c r="Y35" s="5" t="s">
        <v>457</v>
      </c>
      <c r="Z35" s="161" t="s">
        <v>584</v>
      </c>
      <c r="AA35" s="5"/>
      <c r="AB35" s="286"/>
      <c r="AC35" s="30" t="s">
        <v>744</v>
      </c>
      <c r="AD35" s="10" t="s">
        <v>753</v>
      </c>
      <c r="AE35" s="54"/>
      <c r="AF35" s="293"/>
      <c r="AG35" s="293"/>
      <c r="AH35" s="21">
        <v>1</v>
      </c>
      <c r="AI35" s="21" t="s">
        <v>116</v>
      </c>
      <c r="AJ35" s="21" t="s">
        <v>77</v>
      </c>
      <c r="AL35" s="21" t="s">
        <v>33</v>
      </c>
      <c r="AM35" s="21" t="s">
        <v>137</v>
      </c>
      <c r="AP3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6" spans="1:42" ht="12" customHeight="1">
      <c r="A36" s="160">
        <f t="shared" si="0"/>
        <v>34</v>
      </c>
      <c r="B36" s="134" t="s">
        <v>496</v>
      </c>
      <c r="C36" s="124" t="s">
        <v>31</v>
      </c>
      <c r="D36" s="283"/>
      <c r="E36" s="32" t="s">
        <v>117</v>
      </c>
      <c r="F36" s="122" t="s">
        <v>138</v>
      </c>
      <c r="G36" s="35" t="s">
        <v>139</v>
      </c>
      <c r="H36" s="30" t="s">
        <v>11</v>
      </c>
      <c r="I36" s="45" t="s">
        <v>76</v>
      </c>
      <c r="J36" s="8" t="s">
        <v>492</v>
      </c>
      <c r="K36" s="4" t="s">
        <v>95</v>
      </c>
      <c r="L36" s="4" t="s">
        <v>27</v>
      </c>
      <c r="M36" s="4" t="s">
        <v>33</v>
      </c>
      <c r="N36" s="4" t="s">
        <v>27</v>
      </c>
      <c r="O36" s="4"/>
      <c r="P36" s="32"/>
      <c r="Q36" s="3">
        <v>0.7</v>
      </c>
      <c r="R36" s="4">
        <v>7</v>
      </c>
      <c r="S36" s="32" t="s">
        <v>317</v>
      </c>
      <c r="T36" s="180"/>
      <c r="U36" s="174"/>
      <c r="V36" s="174">
        <v>1.8</v>
      </c>
      <c r="W36" s="190"/>
      <c r="X36" s="34" t="s">
        <v>455</v>
      </c>
      <c r="Y36" s="160" t="s">
        <v>457</v>
      </c>
      <c r="Z36" s="165" t="s">
        <v>585</v>
      </c>
      <c r="AA36" s="5"/>
      <c r="AB36" s="286"/>
      <c r="AC36" s="30" t="s">
        <v>744</v>
      </c>
      <c r="AD36" s="10" t="s">
        <v>752</v>
      </c>
      <c r="AH36" s="21">
        <v>1</v>
      </c>
      <c r="AI36" s="21" t="s">
        <v>116</v>
      </c>
      <c r="AJ36" s="21" t="s">
        <v>81</v>
      </c>
      <c r="AL36" s="21" t="s">
        <v>33</v>
      </c>
      <c r="AM36" s="21" t="s">
        <v>140</v>
      </c>
      <c r="AP3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7" spans="1:42" ht="12" customHeight="1">
      <c r="A37" s="160">
        <f t="shared" si="0"/>
        <v>35</v>
      </c>
      <c r="B37" s="134" t="s">
        <v>350</v>
      </c>
      <c r="C37" s="124" t="s">
        <v>31</v>
      </c>
      <c r="D37" s="283"/>
      <c r="E37" s="32" t="s">
        <v>117</v>
      </c>
      <c r="F37" s="99" t="s">
        <v>141</v>
      </c>
      <c r="G37" s="35" t="s">
        <v>127</v>
      </c>
      <c r="H37" s="2" t="s">
        <v>11</v>
      </c>
      <c r="I37" s="45" t="s">
        <v>76</v>
      </c>
      <c r="J37" s="1" t="s">
        <v>492</v>
      </c>
      <c r="K37" s="4" t="s">
        <v>95</v>
      </c>
      <c r="L37" s="4" t="s">
        <v>27</v>
      </c>
      <c r="M37" s="4" t="s">
        <v>33</v>
      </c>
      <c r="N37" s="4" t="s">
        <v>27</v>
      </c>
      <c r="O37" s="4"/>
      <c r="P37" s="32"/>
      <c r="Q37" s="3"/>
      <c r="R37" s="4"/>
      <c r="S37" s="32"/>
      <c r="T37" s="180"/>
      <c r="U37" s="174"/>
      <c r="V37" s="174"/>
      <c r="W37" s="190"/>
      <c r="X37" s="5" t="s">
        <v>455</v>
      </c>
      <c r="Y37" s="5" t="s">
        <v>457</v>
      </c>
      <c r="Z37" s="161" t="s">
        <v>586</v>
      </c>
      <c r="AA37" s="5"/>
      <c r="AB37" s="286"/>
      <c r="AC37" s="30" t="s">
        <v>744</v>
      </c>
      <c r="AD37" s="10" t="s">
        <v>753</v>
      </c>
      <c r="AE37" s="54" t="s">
        <v>120</v>
      </c>
      <c r="AF37" s="293"/>
      <c r="AG37" s="293"/>
      <c r="AH37" s="21">
        <v>1</v>
      </c>
      <c r="AI37" s="21" t="s">
        <v>116</v>
      </c>
      <c r="AJ37" s="21" t="s">
        <v>93</v>
      </c>
      <c r="AL37" s="21" t="s">
        <v>33</v>
      </c>
      <c r="AM37" s="21" t="s">
        <v>142</v>
      </c>
      <c r="AP3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8" spans="1:42" ht="12" customHeight="1">
      <c r="A38" s="160">
        <f t="shared" si="0"/>
        <v>36</v>
      </c>
      <c r="B38" s="134" t="s">
        <v>351</v>
      </c>
      <c r="C38" s="124" t="s">
        <v>31</v>
      </c>
      <c r="D38" s="283"/>
      <c r="E38" s="32" t="s">
        <v>117</v>
      </c>
      <c r="F38" s="99" t="s">
        <v>143</v>
      </c>
      <c r="G38" s="99" t="s">
        <v>144</v>
      </c>
      <c r="H38" s="30" t="s">
        <v>11</v>
      </c>
      <c r="I38" s="45" t="s">
        <v>76</v>
      </c>
      <c r="J38" s="8" t="s">
        <v>492</v>
      </c>
      <c r="K38" s="10" t="s">
        <v>95</v>
      </c>
      <c r="L38" s="10" t="s">
        <v>27</v>
      </c>
      <c r="M38" s="10" t="s">
        <v>33</v>
      </c>
      <c r="N38" s="10" t="s">
        <v>27</v>
      </c>
      <c r="O38" s="10"/>
      <c r="P38" s="33"/>
      <c r="Q38" s="6"/>
      <c r="R38" s="10"/>
      <c r="S38" s="33" t="s">
        <v>316</v>
      </c>
      <c r="T38" s="181"/>
      <c r="U38" s="174"/>
      <c r="V38" s="175">
        <v>80</v>
      </c>
      <c r="W38" s="191"/>
      <c r="X38" s="46" t="s">
        <v>455</v>
      </c>
      <c r="Y38" s="124" t="s">
        <v>457</v>
      </c>
      <c r="Z38" s="166" t="s">
        <v>587</v>
      </c>
      <c r="AA38" s="5"/>
      <c r="AB38" s="286"/>
      <c r="AC38" s="30" t="s">
        <v>743</v>
      </c>
      <c r="AD38" s="10" t="s">
        <v>752</v>
      </c>
      <c r="AE38" s="54"/>
      <c r="AF38" s="293"/>
      <c r="AG38" s="293"/>
      <c r="AH38" s="21">
        <v>1</v>
      </c>
      <c r="AI38" s="21" t="s">
        <v>116</v>
      </c>
      <c r="AJ38" s="21" t="s">
        <v>96</v>
      </c>
      <c r="AL38" s="21" t="s">
        <v>33</v>
      </c>
      <c r="AM38" s="21" t="s">
        <v>145</v>
      </c>
      <c r="AP3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39" spans="1:42" ht="12" customHeight="1">
      <c r="A39" s="160">
        <f t="shared" si="0"/>
        <v>37</v>
      </c>
      <c r="B39" s="136" t="s">
        <v>352</v>
      </c>
      <c r="C39" s="124" t="s">
        <v>31</v>
      </c>
      <c r="D39" s="283"/>
      <c r="E39" s="32" t="s">
        <v>117</v>
      </c>
      <c r="F39" s="99" t="s">
        <v>146</v>
      </c>
      <c r="G39" s="99" t="s">
        <v>144</v>
      </c>
      <c r="H39" s="30" t="s">
        <v>11</v>
      </c>
      <c r="I39" s="45" t="s">
        <v>76</v>
      </c>
      <c r="J39" s="8" t="s">
        <v>492</v>
      </c>
      <c r="K39" s="10" t="s">
        <v>95</v>
      </c>
      <c r="L39" s="10" t="s">
        <v>27</v>
      </c>
      <c r="M39" s="10" t="s">
        <v>33</v>
      </c>
      <c r="N39" s="10" t="s">
        <v>27</v>
      </c>
      <c r="O39" s="10"/>
      <c r="P39" s="33"/>
      <c r="Q39" s="6"/>
      <c r="R39" s="10"/>
      <c r="S39" s="33" t="s">
        <v>316</v>
      </c>
      <c r="T39" s="185"/>
      <c r="U39" s="174"/>
      <c r="V39" s="175">
        <v>70</v>
      </c>
      <c r="W39" s="191"/>
      <c r="X39" s="46" t="s">
        <v>459</v>
      </c>
      <c r="Y39" s="124" t="s">
        <v>460</v>
      </c>
      <c r="Z39" s="166" t="s">
        <v>588</v>
      </c>
      <c r="AA39" s="5"/>
      <c r="AB39" s="286"/>
      <c r="AC39" s="30"/>
      <c r="AD39" s="10"/>
      <c r="AE39" s="54"/>
      <c r="AF39" s="293"/>
      <c r="AG39" s="293"/>
      <c r="AH39" s="21">
        <v>1</v>
      </c>
      <c r="AI39" s="21" t="s">
        <v>116</v>
      </c>
      <c r="AJ39" s="21" t="s">
        <v>85</v>
      </c>
      <c r="AL39" s="21" t="s">
        <v>33</v>
      </c>
      <c r="AM39" s="21" t="s">
        <v>147</v>
      </c>
      <c r="AP3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0" spans="1:42" ht="12" customHeight="1">
      <c r="A40" s="160">
        <f t="shared" si="0"/>
        <v>38</v>
      </c>
      <c r="B40" s="137" t="s">
        <v>353</v>
      </c>
      <c r="C40" s="124" t="s">
        <v>31</v>
      </c>
      <c r="D40" s="283"/>
      <c r="E40" s="32" t="s">
        <v>117</v>
      </c>
      <c r="F40" s="99" t="s">
        <v>148</v>
      </c>
      <c r="G40" s="99" t="s">
        <v>119</v>
      </c>
      <c r="H40" s="9" t="s">
        <v>11</v>
      </c>
      <c r="I40" s="45" t="s">
        <v>76</v>
      </c>
      <c r="J40" s="8" t="s">
        <v>492</v>
      </c>
      <c r="K40" s="10"/>
      <c r="L40" s="10"/>
      <c r="M40" s="10"/>
      <c r="N40" s="10"/>
      <c r="O40" s="4"/>
      <c r="P40" s="32"/>
      <c r="Q40" s="3">
        <v>1.3</v>
      </c>
      <c r="R40" s="4">
        <v>7</v>
      </c>
      <c r="S40" s="32" t="s">
        <v>317</v>
      </c>
      <c r="T40" s="185"/>
      <c r="U40" s="174">
        <v>2</v>
      </c>
      <c r="V40" s="174"/>
      <c r="W40" s="190"/>
      <c r="X40" s="11" t="s">
        <v>455</v>
      </c>
      <c r="Y40" s="11" t="s">
        <v>457</v>
      </c>
      <c r="Z40" s="162" t="s">
        <v>589</v>
      </c>
      <c r="AA40" s="5"/>
      <c r="AB40" s="286"/>
      <c r="AC40" s="30" t="s">
        <v>745</v>
      </c>
      <c r="AD40" s="10" t="s">
        <v>753</v>
      </c>
      <c r="AE40" s="54"/>
      <c r="AF40" s="293"/>
      <c r="AG40" s="293"/>
      <c r="AH40" s="21">
        <v>1</v>
      </c>
      <c r="AI40" s="21" t="s">
        <v>116</v>
      </c>
      <c r="AJ40" s="21" t="s">
        <v>87</v>
      </c>
      <c r="AL40" s="21" t="s">
        <v>33</v>
      </c>
      <c r="AM40" s="21" t="s">
        <v>149</v>
      </c>
      <c r="AP4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1" spans="1:42" ht="12" customHeight="1">
      <c r="A41" s="160">
        <f t="shared" si="0"/>
        <v>39</v>
      </c>
      <c r="B41" s="134" t="s">
        <v>354</v>
      </c>
      <c r="C41" s="124" t="s">
        <v>31</v>
      </c>
      <c r="D41" s="283"/>
      <c r="E41" s="32" t="s">
        <v>117</v>
      </c>
      <c r="F41" s="36" t="s">
        <v>150</v>
      </c>
      <c r="G41" s="99" t="s">
        <v>144</v>
      </c>
      <c r="H41" s="30" t="s">
        <v>11</v>
      </c>
      <c r="I41" s="45" t="s">
        <v>76</v>
      </c>
      <c r="J41" s="8" t="s">
        <v>492</v>
      </c>
      <c r="K41" s="10" t="s">
        <v>95</v>
      </c>
      <c r="L41" s="10" t="s">
        <v>27</v>
      </c>
      <c r="M41" s="10" t="s">
        <v>33</v>
      </c>
      <c r="N41" s="10" t="s">
        <v>27</v>
      </c>
      <c r="O41" s="10"/>
      <c r="P41" s="33"/>
      <c r="Q41" s="6"/>
      <c r="R41" s="10"/>
      <c r="S41" s="33" t="s">
        <v>316</v>
      </c>
      <c r="T41" s="181"/>
      <c r="U41" s="175"/>
      <c r="V41" s="175">
        <v>50</v>
      </c>
      <c r="W41" s="191"/>
      <c r="X41" s="46" t="s">
        <v>459</v>
      </c>
      <c r="Y41" s="124" t="s">
        <v>460</v>
      </c>
      <c r="Z41" s="166" t="s">
        <v>590</v>
      </c>
      <c r="AA41" s="11"/>
      <c r="AB41" s="286"/>
      <c r="AC41" s="30"/>
      <c r="AD41" s="10"/>
      <c r="AE41" s="54"/>
      <c r="AF41" s="293"/>
      <c r="AG41" s="293"/>
      <c r="AH41" s="21">
        <v>1</v>
      </c>
      <c r="AI41" s="21" t="s">
        <v>116</v>
      </c>
      <c r="AJ41" s="21" t="s">
        <v>89</v>
      </c>
      <c r="AL41" s="21" t="s">
        <v>33</v>
      </c>
      <c r="AM41" s="21" t="s">
        <v>151</v>
      </c>
      <c r="AP4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2" spans="1:42" s="43" customFormat="1" ht="12" customHeight="1" thickBot="1">
      <c r="A42" s="160">
        <f t="shared" si="0"/>
        <v>40</v>
      </c>
      <c r="B42" s="43" t="s">
        <v>493</v>
      </c>
      <c r="C42" s="100" t="s">
        <v>31</v>
      </c>
      <c r="D42" s="284"/>
      <c r="E42" s="41" t="s">
        <v>117</v>
      </c>
      <c r="F42" s="101" t="s">
        <v>494</v>
      </c>
      <c r="G42" s="101" t="s">
        <v>495</v>
      </c>
      <c r="H42" s="60" t="s">
        <v>492</v>
      </c>
      <c r="I42" s="103" t="s">
        <v>76</v>
      </c>
      <c r="J42" s="62" t="s">
        <v>492</v>
      </c>
      <c r="K42" s="63" t="s">
        <v>95</v>
      </c>
      <c r="L42" s="63" t="s">
        <v>27</v>
      </c>
      <c r="M42" s="63" t="s">
        <v>33</v>
      </c>
      <c r="N42" s="63" t="s">
        <v>27</v>
      </c>
      <c r="O42" s="63"/>
      <c r="P42" s="65"/>
      <c r="Q42" s="64"/>
      <c r="R42" s="63"/>
      <c r="S42" s="65"/>
      <c r="T42" s="186"/>
      <c r="U42" s="177"/>
      <c r="V42" s="178"/>
      <c r="W42" s="194"/>
      <c r="X42" s="66" t="s">
        <v>455</v>
      </c>
      <c r="Y42" s="66" t="s">
        <v>457</v>
      </c>
      <c r="Z42" s="167" t="s">
        <v>591</v>
      </c>
      <c r="AA42" s="66"/>
      <c r="AB42" s="289"/>
      <c r="AC42" s="30" t="s">
        <v>743</v>
      </c>
      <c r="AD42" s="10" t="s">
        <v>752</v>
      </c>
      <c r="AE42" s="42"/>
      <c r="AF42" s="293"/>
      <c r="AG42" s="293"/>
      <c r="AH42" s="43">
        <v>1</v>
      </c>
      <c r="AI42" s="43" t="s">
        <v>116</v>
      </c>
      <c r="AJ42" s="43" t="s">
        <v>152</v>
      </c>
      <c r="AL42" s="43" t="s">
        <v>33</v>
      </c>
      <c r="AM42" s="43" t="s">
        <v>153</v>
      </c>
      <c r="AP42" s="43" t="e">
        <f>IF(#REF!="","",LEFT(#REF!,FIND("-",#REF!)) &amp; IF(VALUE(MID(#REF!,FIND("-",#REF!)+1,4))&lt;1000,RIGHT("0000" &amp; MID(#REF!,FIND("-",#REF!)+1,4)+100,4),MID(#REF!,FIND("-",#REF!)+1,4)+1000))</f>
        <v>#REF!</v>
      </c>
    </row>
    <row r="43" spans="1:42" ht="12" customHeight="1">
      <c r="A43" s="160">
        <f t="shared" si="0"/>
        <v>41</v>
      </c>
      <c r="B43" s="139"/>
      <c r="C43" s="160" t="s">
        <v>31</v>
      </c>
      <c r="D43" s="283" t="s">
        <v>196</v>
      </c>
      <c r="E43" s="32" t="s">
        <v>117</v>
      </c>
      <c r="F43" s="35" t="s">
        <v>83</v>
      </c>
      <c r="G43" s="35"/>
      <c r="H43" s="2"/>
      <c r="I43" s="45"/>
      <c r="J43" s="1"/>
      <c r="K43" s="4" t="s">
        <v>95</v>
      </c>
      <c r="L43" s="4" t="s">
        <v>27</v>
      </c>
      <c r="M43" s="4" t="s">
        <v>33</v>
      </c>
      <c r="N43" s="4" t="s">
        <v>27</v>
      </c>
      <c r="O43" s="4"/>
      <c r="P43" s="32"/>
      <c r="Q43" s="3"/>
      <c r="R43" s="4"/>
      <c r="S43" s="32"/>
      <c r="T43" s="187"/>
      <c r="U43" s="174"/>
      <c r="V43" s="174"/>
      <c r="W43" s="190"/>
      <c r="X43" s="5"/>
      <c r="Y43" s="5"/>
      <c r="Z43" s="161" t="s">
        <v>592</v>
      </c>
      <c r="AA43" s="5"/>
      <c r="AB43" s="285"/>
      <c r="AC43" s="30"/>
      <c r="AD43" s="10"/>
      <c r="AE43" s="54"/>
      <c r="AF43" s="293"/>
      <c r="AG43" s="293"/>
      <c r="AH43" s="21">
        <v>1</v>
      </c>
      <c r="AI43" s="21" t="s">
        <v>116</v>
      </c>
      <c r="AJ43" s="21" t="s">
        <v>154</v>
      </c>
      <c r="AL43" s="21" t="s">
        <v>33</v>
      </c>
      <c r="AM43" s="21" t="s">
        <v>155</v>
      </c>
      <c r="AP4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4" spans="1:42" ht="12" customHeight="1">
      <c r="A44" s="160">
        <f t="shared" si="0"/>
        <v>42</v>
      </c>
      <c r="B44" s="140"/>
      <c r="C44" s="160" t="s">
        <v>31</v>
      </c>
      <c r="D44" s="283"/>
      <c r="E44" s="32" t="s">
        <v>117</v>
      </c>
      <c r="F44" s="99" t="s">
        <v>83</v>
      </c>
      <c r="G44" s="99"/>
      <c r="H44" s="9"/>
      <c r="I44" s="45"/>
      <c r="J44" s="8"/>
      <c r="K44" s="10" t="s">
        <v>95</v>
      </c>
      <c r="L44" s="10" t="s">
        <v>27</v>
      </c>
      <c r="M44" s="10" t="s">
        <v>33</v>
      </c>
      <c r="N44" s="10" t="s">
        <v>27</v>
      </c>
      <c r="O44" s="4"/>
      <c r="P44" s="32"/>
      <c r="Q44" s="3"/>
      <c r="R44" s="4"/>
      <c r="S44" s="32"/>
      <c r="T44" s="185"/>
      <c r="U44" s="174"/>
      <c r="V44" s="174"/>
      <c r="W44" s="190"/>
      <c r="X44" s="11"/>
      <c r="Y44" s="11"/>
      <c r="Z44" s="162" t="s">
        <v>593</v>
      </c>
      <c r="AA44" s="5"/>
      <c r="AB44" s="286"/>
      <c r="AC44" s="30"/>
      <c r="AD44" s="10"/>
      <c r="AE44" s="54"/>
      <c r="AF44" s="293"/>
      <c r="AG44" s="293"/>
      <c r="AH44" s="21">
        <v>1</v>
      </c>
      <c r="AI44" s="21" t="s">
        <v>116</v>
      </c>
      <c r="AJ44" s="21" t="s">
        <v>156</v>
      </c>
      <c r="AL44" s="21" t="s">
        <v>33</v>
      </c>
      <c r="AM44" s="21" t="s">
        <v>157</v>
      </c>
      <c r="AP44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5" spans="1:42" ht="12" customHeight="1">
      <c r="A45" s="160">
        <f t="shared" si="0"/>
        <v>43</v>
      </c>
      <c r="B45" s="140"/>
      <c r="C45" s="124" t="s">
        <v>31</v>
      </c>
      <c r="D45" s="283"/>
      <c r="E45" s="33" t="s">
        <v>117</v>
      </c>
      <c r="F45" s="99" t="s">
        <v>83</v>
      </c>
      <c r="G45" s="99"/>
      <c r="H45" s="9"/>
      <c r="I45" s="45"/>
      <c r="J45" s="8"/>
      <c r="K45" s="10" t="s">
        <v>95</v>
      </c>
      <c r="L45" s="10" t="s">
        <v>27</v>
      </c>
      <c r="M45" s="10" t="s">
        <v>33</v>
      </c>
      <c r="N45" s="10" t="s">
        <v>27</v>
      </c>
      <c r="O45" s="4"/>
      <c r="P45" s="32"/>
      <c r="Q45" s="3"/>
      <c r="R45" s="4"/>
      <c r="S45" s="32"/>
      <c r="T45" s="185"/>
      <c r="U45" s="174"/>
      <c r="V45" s="174"/>
      <c r="W45" s="190"/>
      <c r="X45" s="11"/>
      <c r="Y45" s="11"/>
      <c r="Z45" s="162" t="s">
        <v>594</v>
      </c>
      <c r="AA45" s="5"/>
      <c r="AB45" s="286"/>
      <c r="AC45" s="30"/>
      <c r="AD45" s="10"/>
      <c r="AE45" s="54"/>
      <c r="AF45" s="19"/>
      <c r="AG45" s="293"/>
      <c r="AH45" s="21">
        <v>1</v>
      </c>
      <c r="AI45" s="21" t="s">
        <v>116</v>
      </c>
      <c r="AJ45" s="21" t="s">
        <v>158</v>
      </c>
      <c r="AL45" s="21" t="s">
        <v>33</v>
      </c>
      <c r="AM45" s="21" t="s">
        <v>159</v>
      </c>
      <c r="AP4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6" spans="1:42" ht="12" customHeight="1">
      <c r="A46" s="160">
        <f t="shared" si="0"/>
        <v>44</v>
      </c>
      <c r="B46" s="140"/>
      <c r="C46" s="160" t="s">
        <v>31</v>
      </c>
      <c r="D46" s="283"/>
      <c r="E46" s="32" t="s">
        <v>117</v>
      </c>
      <c r="F46" s="99" t="s">
        <v>83</v>
      </c>
      <c r="G46" s="35"/>
      <c r="H46" s="9"/>
      <c r="I46" s="45"/>
      <c r="J46" s="8"/>
      <c r="K46" s="4" t="s">
        <v>95</v>
      </c>
      <c r="L46" s="4" t="s">
        <v>27</v>
      </c>
      <c r="M46" s="4" t="s">
        <v>33</v>
      </c>
      <c r="N46" s="4" t="s">
        <v>27</v>
      </c>
      <c r="O46" s="4"/>
      <c r="P46" s="32"/>
      <c r="Q46" s="3"/>
      <c r="R46" s="4"/>
      <c r="S46" s="32"/>
      <c r="T46" s="185"/>
      <c r="U46" s="174"/>
      <c r="V46" s="174"/>
      <c r="W46" s="190"/>
      <c r="X46" s="5"/>
      <c r="Y46" s="5"/>
      <c r="Z46" s="161" t="s">
        <v>595</v>
      </c>
      <c r="AA46" s="5"/>
      <c r="AB46" s="286"/>
      <c r="AC46" s="30"/>
      <c r="AD46" s="10"/>
      <c r="AE46" s="54"/>
      <c r="AF46" s="19"/>
      <c r="AG46" s="293"/>
      <c r="AH46" s="21">
        <v>1</v>
      </c>
      <c r="AI46" s="21" t="s">
        <v>116</v>
      </c>
      <c r="AJ46" s="21" t="s">
        <v>160</v>
      </c>
      <c r="AL46" s="21" t="s">
        <v>33</v>
      </c>
      <c r="AM46" s="21" t="s">
        <v>161</v>
      </c>
      <c r="AP4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7" spans="1:42" ht="12" customHeight="1">
      <c r="A47" s="160">
        <f t="shared" si="0"/>
        <v>45</v>
      </c>
      <c r="B47" s="140"/>
      <c r="C47" s="160" t="s">
        <v>31</v>
      </c>
      <c r="D47" s="283"/>
      <c r="E47" s="33" t="s">
        <v>117</v>
      </c>
      <c r="F47" s="99" t="s">
        <v>83</v>
      </c>
      <c r="G47" s="35"/>
      <c r="H47" s="9"/>
      <c r="I47" s="45"/>
      <c r="J47" s="8"/>
      <c r="K47" s="4"/>
      <c r="L47" s="4"/>
      <c r="M47" s="4"/>
      <c r="N47" s="4"/>
      <c r="O47" s="4"/>
      <c r="P47" s="32"/>
      <c r="Q47" s="3"/>
      <c r="R47" s="4"/>
      <c r="S47" s="32"/>
      <c r="T47" s="185"/>
      <c r="U47" s="174"/>
      <c r="V47" s="174"/>
      <c r="W47" s="190"/>
      <c r="X47" s="5"/>
      <c r="Y47" s="5"/>
      <c r="Z47" s="162" t="s">
        <v>596</v>
      </c>
      <c r="AA47" s="5"/>
      <c r="AB47" s="286"/>
      <c r="AC47" s="30"/>
      <c r="AD47" s="10"/>
      <c r="AE47" s="54"/>
      <c r="AF47" s="19"/>
      <c r="AG47" s="293"/>
      <c r="AH47" s="21">
        <v>1</v>
      </c>
      <c r="AI47" s="21" t="s">
        <v>116</v>
      </c>
      <c r="AJ47" s="21" t="s">
        <v>163</v>
      </c>
      <c r="AL47" s="21" t="s">
        <v>33</v>
      </c>
      <c r="AM47" s="21" t="s">
        <v>164</v>
      </c>
      <c r="AP4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8" spans="1:42" ht="12" customHeight="1">
      <c r="A48" s="160">
        <f t="shared" si="0"/>
        <v>46</v>
      </c>
      <c r="B48" s="137" t="s">
        <v>355</v>
      </c>
      <c r="C48" s="124" t="s">
        <v>31</v>
      </c>
      <c r="D48" s="283"/>
      <c r="E48" s="32" t="s">
        <v>117</v>
      </c>
      <c r="F48" s="99" t="s">
        <v>540</v>
      </c>
      <c r="G48" s="126" t="s">
        <v>162</v>
      </c>
      <c r="H48" s="9" t="s">
        <v>492</v>
      </c>
      <c r="I48" s="45" t="s">
        <v>76</v>
      </c>
      <c r="J48" s="8" t="s">
        <v>492</v>
      </c>
      <c r="K48" s="10" t="s">
        <v>95</v>
      </c>
      <c r="L48" s="10" t="s">
        <v>27</v>
      </c>
      <c r="M48" s="10" t="s">
        <v>33</v>
      </c>
      <c r="N48" s="10" t="s">
        <v>27</v>
      </c>
      <c r="O48" s="4"/>
      <c r="P48" s="32"/>
      <c r="Q48" s="3"/>
      <c r="R48" s="4"/>
      <c r="S48" s="32"/>
      <c r="T48" s="180"/>
      <c r="U48" s="174"/>
      <c r="V48" s="174"/>
      <c r="W48" s="190"/>
      <c r="X48" s="11" t="s">
        <v>461</v>
      </c>
      <c r="Y48" s="11" t="s">
        <v>463</v>
      </c>
      <c r="Z48" s="162" t="s">
        <v>597</v>
      </c>
      <c r="AA48" s="5"/>
      <c r="AB48" s="286"/>
      <c r="AC48" s="30"/>
      <c r="AD48" s="10"/>
      <c r="AE48" s="54"/>
      <c r="AF48" s="19"/>
      <c r="AG48" s="293"/>
      <c r="AH48" s="21">
        <v>1</v>
      </c>
      <c r="AI48" s="21" t="s">
        <v>116</v>
      </c>
      <c r="AJ48" s="21" t="s">
        <v>166</v>
      </c>
      <c r="AL48" s="21" t="s">
        <v>33</v>
      </c>
      <c r="AM48" s="21" t="s">
        <v>167</v>
      </c>
      <c r="AP4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49" spans="1:45" ht="12" customHeight="1">
      <c r="A49" s="160">
        <f t="shared" si="0"/>
        <v>47</v>
      </c>
      <c r="B49" s="134" t="s">
        <v>356</v>
      </c>
      <c r="C49" s="160" t="s">
        <v>31</v>
      </c>
      <c r="D49" s="283"/>
      <c r="E49" s="32" t="s">
        <v>117</v>
      </c>
      <c r="F49" s="99" t="s">
        <v>165</v>
      </c>
      <c r="G49" s="99" t="s">
        <v>314</v>
      </c>
      <c r="H49" s="9" t="s">
        <v>492</v>
      </c>
      <c r="I49" s="45" t="s">
        <v>76</v>
      </c>
      <c r="J49" s="8" t="s">
        <v>492</v>
      </c>
      <c r="K49" s="10" t="s">
        <v>95</v>
      </c>
      <c r="L49" s="10" t="s">
        <v>27</v>
      </c>
      <c r="M49" s="10" t="s">
        <v>33</v>
      </c>
      <c r="N49" s="10" t="s">
        <v>27</v>
      </c>
      <c r="O49" s="4"/>
      <c r="P49" s="32"/>
      <c r="Q49" s="3"/>
      <c r="R49" s="4"/>
      <c r="S49" s="32"/>
      <c r="T49" s="180"/>
      <c r="U49" s="174"/>
      <c r="V49" s="174"/>
      <c r="W49" s="190"/>
      <c r="X49" s="11"/>
      <c r="Y49" s="11" t="s">
        <v>458</v>
      </c>
      <c r="Z49" s="161" t="s">
        <v>598</v>
      </c>
      <c r="AA49" s="5"/>
      <c r="AB49" s="286"/>
      <c r="AC49" s="30"/>
      <c r="AD49" s="10"/>
      <c r="AE49" s="54"/>
      <c r="AF49" s="19"/>
      <c r="AG49" s="293"/>
      <c r="AH49" s="21">
        <v>1</v>
      </c>
      <c r="AI49" s="21" t="s">
        <v>116</v>
      </c>
      <c r="AJ49" s="21" t="s">
        <v>169</v>
      </c>
      <c r="AL49" s="21" t="s">
        <v>33</v>
      </c>
      <c r="AM49" s="21" t="s">
        <v>170</v>
      </c>
      <c r="AP4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0" spans="1:45" s="38" customFormat="1" ht="12" customHeight="1">
      <c r="A50" s="160">
        <f t="shared" si="0"/>
        <v>48</v>
      </c>
      <c r="B50" s="134" t="s">
        <v>357</v>
      </c>
      <c r="C50" s="160" t="s">
        <v>31</v>
      </c>
      <c r="D50" s="283"/>
      <c r="E50" s="32" t="s">
        <v>117</v>
      </c>
      <c r="F50" s="99" t="s">
        <v>168</v>
      </c>
      <c r="G50" s="99" t="s">
        <v>315</v>
      </c>
      <c r="H50" s="2" t="s">
        <v>492</v>
      </c>
      <c r="I50" s="45" t="s">
        <v>76</v>
      </c>
      <c r="J50" s="1" t="s">
        <v>492</v>
      </c>
      <c r="K50" s="4" t="s">
        <v>95</v>
      </c>
      <c r="L50" s="4" t="s">
        <v>27</v>
      </c>
      <c r="M50" s="4" t="s">
        <v>33</v>
      </c>
      <c r="N50" s="4" t="s">
        <v>27</v>
      </c>
      <c r="O50" s="4"/>
      <c r="P50" s="32"/>
      <c r="Q50" s="3"/>
      <c r="R50" s="4"/>
      <c r="S50" s="32"/>
      <c r="T50" s="180"/>
      <c r="U50" s="174"/>
      <c r="V50" s="174"/>
      <c r="W50" s="190"/>
      <c r="X50" s="5" t="s">
        <v>456</v>
      </c>
      <c r="Y50" s="5"/>
      <c r="Z50" s="165" t="s">
        <v>599</v>
      </c>
      <c r="AA50" s="5"/>
      <c r="AB50" s="287"/>
      <c r="AC50" s="30"/>
      <c r="AD50" s="10"/>
      <c r="AE50" s="37"/>
      <c r="AF50" s="37"/>
      <c r="AG50" s="293"/>
      <c r="AH50" s="38">
        <v>1</v>
      </c>
      <c r="AI50" s="38" t="s">
        <v>116</v>
      </c>
      <c r="AJ50" s="38" t="s">
        <v>171</v>
      </c>
      <c r="AL50" s="38" t="s">
        <v>33</v>
      </c>
      <c r="AM50" s="38" t="s">
        <v>172</v>
      </c>
      <c r="AP50" s="38" t="e">
        <f>IF(#REF!="","",LEFT(#REF!,FIND("-",#REF!)) &amp; IF(VALUE(MID(#REF!,FIND("-",#REF!)+1,4))&lt;1000,RIGHT("0000" &amp; MID(#REF!,FIND("-",#REF!)+1,4)+100,4),MID(#REF!,FIND("-",#REF!)+1,4)+1000))</f>
        <v>#REF!</v>
      </c>
    </row>
    <row r="51" spans="1:45" ht="12" customHeight="1">
      <c r="A51" s="160">
        <f t="shared" si="0"/>
        <v>49</v>
      </c>
      <c r="B51" s="134" t="s">
        <v>358</v>
      </c>
      <c r="C51" s="160" t="s">
        <v>31</v>
      </c>
      <c r="D51" s="283"/>
      <c r="E51" s="5" t="s">
        <v>117</v>
      </c>
      <c r="F51" s="99" t="s">
        <v>464</v>
      </c>
      <c r="G51" s="99" t="s">
        <v>162</v>
      </c>
      <c r="H51" s="34" t="s">
        <v>492</v>
      </c>
      <c r="I51" s="45" t="s">
        <v>76</v>
      </c>
      <c r="J51" s="1" t="s">
        <v>492</v>
      </c>
      <c r="K51" s="4" t="s">
        <v>95</v>
      </c>
      <c r="L51" s="4" t="s">
        <v>27</v>
      </c>
      <c r="M51" s="4" t="s">
        <v>33</v>
      </c>
      <c r="N51" s="4" t="s">
        <v>27</v>
      </c>
      <c r="O51" s="4"/>
      <c r="P51" s="32"/>
      <c r="Q51" s="3"/>
      <c r="R51" s="4"/>
      <c r="S51" s="32"/>
      <c r="T51" s="180"/>
      <c r="U51" s="174"/>
      <c r="V51" s="174"/>
      <c r="W51" s="190"/>
      <c r="X51" s="34"/>
      <c r="Y51" s="160" t="s">
        <v>465</v>
      </c>
      <c r="Z51" s="165" t="s">
        <v>600</v>
      </c>
      <c r="AA51" s="5"/>
      <c r="AB51" s="288"/>
      <c r="AC51" s="30"/>
      <c r="AD51" s="10"/>
      <c r="AE51" s="54"/>
      <c r="AF51" s="19"/>
      <c r="AG51" s="293"/>
      <c r="AH51" s="21">
        <v>1</v>
      </c>
      <c r="AI51" s="21" t="s">
        <v>116</v>
      </c>
      <c r="AJ51" s="21" t="s">
        <v>173</v>
      </c>
      <c r="AL51" s="21" t="s">
        <v>33</v>
      </c>
      <c r="AM51" s="21" t="s">
        <v>174</v>
      </c>
      <c r="AP5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2" spans="1:45" ht="12" customHeight="1">
      <c r="A52" s="160">
        <f t="shared" si="0"/>
        <v>50</v>
      </c>
      <c r="B52" s="134" t="s">
        <v>359</v>
      </c>
      <c r="C52" s="160" t="s">
        <v>31</v>
      </c>
      <c r="D52" s="283"/>
      <c r="E52" s="5" t="s">
        <v>117</v>
      </c>
      <c r="F52" s="99" t="s">
        <v>464</v>
      </c>
      <c r="G52" s="99"/>
      <c r="H52" s="34" t="s">
        <v>492</v>
      </c>
      <c r="I52" s="45" t="s">
        <v>76</v>
      </c>
      <c r="J52" s="1" t="s">
        <v>492</v>
      </c>
      <c r="K52" s="4" t="s">
        <v>95</v>
      </c>
      <c r="L52" s="4" t="s">
        <v>27</v>
      </c>
      <c r="M52" s="4" t="s">
        <v>33</v>
      </c>
      <c r="N52" s="4" t="s">
        <v>27</v>
      </c>
      <c r="O52" s="4"/>
      <c r="P52" s="32"/>
      <c r="Q52" s="3"/>
      <c r="R52" s="4"/>
      <c r="S52" s="32"/>
      <c r="T52" s="180"/>
      <c r="U52" s="174"/>
      <c r="V52" s="174"/>
      <c r="W52" s="190"/>
      <c r="X52" s="34"/>
      <c r="Y52" s="160" t="s">
        <v>466</v>
      </c>
      <c r="Z52" s="165" t="s">
        <v>601</v>
      </c>
      <c r="AA52" s="5"/>
      <c r="AB52" s="286"/>
      <c r="AC52" s="30"/>
      <c r="AD52" s="10"/>
      <c r="AE52" s="54"/>
      <c r="AF52" s="19"/>
      <c r="AG52" s="293"/>
      <c r="AH52" s="21">
        <v>1</v>
      </c>
      <c r="AI52" s="21" t="s">
        <v>116</v>
      </c>
      <c r="AJ52" s="21" t="s">
        <v>176</v>
      </c>
      <c r="AL52" s="21" t="s">
        <v>33</v>
      </c>
      <c r="AM52" s="21" t="s">
        <v>177</v>
      </c>
      <c r="AP52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3" spans="1:45" ht="12" customHeight="1">
      <c r="A53" s="160">
        <f t="shared" si="0"/>
        <v>51</v>
      </c>
      <c r="B53" s="134" t="s">
        <v>360</v>
      </c>
      <c r="C53" s="160" t="s">
        <v>31</v>
      </c>
      <c r="D53" s="283"/>
      <c r="E53" s="5" t="s">
        <v>117</v>
      </c>
      <c r="F53" s="99" t="s">
        <v>175</v>
      </c>
      <c r="G53" s="99" t="s">
        <v>314</v>
      </c>
      <c r="H53" s="34" t="s">
        <v>492</v>
      </c>
      <c r="I53" s="45" t="s">
        <v>76</v>
      </c>
      <c r="J53" s="1" t="s">
        <v>492</v>
      </c>
      <c r="K53" s="4" t="s">
        <v>95</v>
      </c>
      <c r="L53" s="4" t="s">
        <v>27</v>
      </c>
      <c r="M53" s="4" t="s">
        <v>33</v>
      </c>
      <c r="N53" s="4" t="s">
        <v>27</v>
      </c>
      <c r="O53" s="4"/>
      <c r="P53" s="32"/>
      <c r="Q53" s="3"/>
      <c r="R53" s="4"/>
      <c r="S53" s="32"/>
      <c r="T53" s="180"/>
      <c r="U53" s="174"/>
      <c r="V53" s="174"/>
      <c r="W53" s="190"/>
      <c r="X53" s="34"/>
      <c r="Y53" s="160" t="s">
        <v>458</v>
      </c>
      <c r="Z53" s="165" t="s">
        <v>602</v>
      </c>
      <c r="AA53" s="5"/>
      <c r="AB53" s="286"/>
      <c r="AC53" s="30"/>
      <c r="AD53" s="10"/>
      <c r="AH53" s="21">
        <v>1</v>
      </c>
      <c r="AI53" s="21" t="s">
        <v>116</v>
      </c>
      <c r="AJ53" s="21" t="s">
        <v>179</v>
      </c>
      <c r="AL53" s="21" t="s">
        <v>33</v>
      </c>
      <c r="AM53" s="21" t="s">
        <v>180</v>
      </c>
      <c r="AP5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4" spans="1:45" ht="12" customHeight="1">
      <c r="A54" s="160">
        <f t="shared" si="0"/>
        <v>52</v>
      </c>
      <c r="B54" s="134" t="s">
        <v>361</v>
      </c>
      <c r="C54" s="160" t="s">
        <v>31</v>
      </c>
      <c r="D54" s="283"/>
      <c r="E54" s="5" t="s">
        <v>117</v>
      </c>
      <c r="F54" s="99" t="s">
        <v>178</v>
      </c>
      <c r="G54" s="99" t="s">
        <v>315</v>
      </c>
      <c r="H54" s="34" t="s">
        <v>492</v>
      </c>
      <c r="I54" s="45" t="s">
        <v>76</v>
      </c>
      <c r="J54" s="1" t="s">
        <v>492</v>
      </c>
      <c r="K54" s="4" t="s">
        <v>95</v>
      </c>
      <c r="L54" s="4" t="s">
        <v>27</v>
      </c>
      <c r="M54" s="4" t="s">
        <v>33</v>
      </c>
      <c r="N54" s="4" t="s">
        <v>27</v>
      </c>
      <c r="O54" s="4"/>
      <c r="P54" s="32"/>
      <c r="Q54" s="3"/>
      <c r="R54" s="4"/>
      <c r="S54" s="32"/>
      <c r="T54" s="180"/>
      <c r="U54" s="174"/>
      <c r="V54" s="174"/>
      <c r="W54" s="190"/>
      <c r="X54" s="34" t="s">
        <v>456</v>
      </c>
      <c r="Y54" s="160"/>
      <c r="Z54" s="165" t="s">
        <v>603</v>
      </c>
      <c r="AA54" s="5"/>
      <c r="AB54" s="286"/>
      <c r="AC54" s="30"/>
      <c r="AD54" s="10"/>
      <c r="AH54" s="21">
        <v>1</v>
      </c>
      <c r="AI54" s="21" t="s">
        <v>116</v>
      </c>
      <c r="AJ54" s="21" t="s">
        <v>182</v>
      </c>
      <c r="AL54" s="21" t="s">
        <v>33</v>
      </c>
      <c r="AM54" s="21" t="s">
        <v>183</v>
      </c>
      <c r="AP54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5" spans="1:45" ht="12" customHeight="1">
      <c r="A55" s="160">
        <f t="shared" si="0"/>
        <v>53</v>
      </c>
      <c r="B55" s="134" t="s">
        <v>418</v>
      </c>
      <c r="C55" s="160" t="s">
        <v>31</v>
      </c>
      <c r="D55" s="283"/>
      <c r="E55" s="5" t="s">
        <v>117</v>
      </c>
      <c r="F55" s="35" t="s">
        <v>181</v>
      </c>
      <c r="G55" s="99" t="s">
        <v>314</v>
      </c>
      <c r="H55" s="34" t="s">
        <v>492</v>
      </c>
      <c r="I55" s="45" t="s">
        <v>76</v>
      </c>
      <c r="J55" s="1" t="s">
        <v>492</v>
      </c>
      <c r="K55" s="4" t="s">
        <v>95</v>
      </c>
      <c r="L55" s="4" t="s">
        <v>27</v>
      </c>
      <c r="M55" s="4" t="s">
        <v>33</v>
      </c>
      <c r="N55" s="4" t="s">
        <v>27</v>
      </c>
      <c r="O55" s="4"/>
      <c r="P55" s="32"/>
      <c r="Q55" s="3"/>
      <c r="R55" s="4"/>
      <c r="S55" s="32"/>
      <c r="T55" s="180"/>
      <c r="U55" s="174"/>
      <c r="V55" s="174"/>
      <c r="W55" s="190"/>
      <c r="X55" s="34"/>
      <c r="Y55" s="160" t="s">
        <v>458</v>
      </c>
      <c r="Z55" s="165" t="s">
        <v>604</v>
      </c>
      <c r="AA55" s="5"/>
      <c r="AB55" s="286"/>
      <c r="AC55" s="30"/>
      <c r="AD55" s="10"/>
      <c r="AH55" s="21">
        <v>1</v>
      </c>
      <c r="AI55" s="21" t="s">
        <v>116</v>
      </c>
      <c r="AJ55" s="21" t="s">
        <v>185</v>
      </c>
      <c r="AL55" s="21" t="s">
        <v>33</v>
      </c>
      <c r="AM55" s="21" t="s">
        <v>186</v>
      </c>
      <c r="AP5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6" spans="1:45" ht="12" customHeight="1">
      <c r="A56" s="160">
        <f t="shared" si="0"/>
        <v>54</v>
      </c>
      <c r="B56" s="134" t="s">
        <v>419</v>
      </c>
      <c r="C56" s="160" t="s">
        <v>31</v>
      </c>
      <c r="D56" s="283"/>
      <c r="E56" s="5" t="s">
        <v>117</v>
      </c>
      <c r="F56" s="36" t="s">
        <v>184</v>
      </c>
      <c r="G56" s="99" t="s">
        <v>315</v>
      </c>
      <c r="H56" s="34" t="s">
        <v>492</v>
      </c>
      <c r="I56" s="45" t="s">
        <v>76</v>
      </c>
      <c r="J56" s="1" t="s">
        <v>492</v>
      </c>
      <c r="K56" s="4" t="s">
        <v>95</v>
      </c>
      <c r="L56" s="4" t="s">
        <v>27</v>
      </c>
      <c r="M56" s="4" t="s">
        <v>33</v>
      </c>
      <c r="N56" s="4" t="s">
        <v>27</v>
      </c>
      <c r="O56" s="4"/>
      <c r="P56" s="32"/>
      <c r="Q56" s="3"/>
      <c r="R56" s="4"/>
      <c r="S56" s="32"/>
      <c r="T56" s="180"/>
      <c r="U56" s="174"/>
      <c r="V56" s="174"/>
      <c r="W56" s="190"/>
      <c r="X56" s="34" t="s">
        <v>456</v>
      </c>
      <c r="Y56" s="160"/>
      <c r="Z56" s="165" t="s">
        <v>605</v>
      </c>
      <c r="AA56" s="5"/>
      <c r="AB56" s="286"/>
      <c r="AC56" s="30"/>
      <c r="AD56" s="10"/>
      <c r="AH56" s="21">
        <v>1</v>
      </c>
      <c r="AI56" s="21" t="s">
        <v>116</v>
      </c>
      <c r="AJ56" s="21" t="s">
        <v>188</v>
      </c>
      <c r="AL56" s="21" t="s">
        <v>33</v>
      </c>
      <c r="AM56" s="21" t="s">
        <v>189</v>
      </c>
      <c r="AP5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7" spans="1:45" ht="12" customHeight="1">
      <c r="A57" s="160">
        <f t="shared" si="0"/>
        <v>55</v>
      </c>
      <c r="B57" s="135" t="s">
        <v>424</v>
      </c>
      <c r="C57" s="160" t="s">
        <v>31</v>
      </c>
      <c r="D57" s="283"/>
      <c r="E57" s="141" t="s">
        <v>117</v>
      </c>
      <c r="F57" s="142" t="s">
        <v>187</v>
      </c>
      <c r="G57" s="35" t="s">
        <v>313</v>
      </c>
      <c r="H57" s="34" t="s">
        <v>492</v>
      </c>
      <c r="I57" s="34" t="s">
        <v>76</v>
      </c>
      <c r="J57" s="1" t="s">
        <v>492</v>
      </c>
      <c r="K57" s="4" t="s">
        <v>95</v>
      </c>
      <c r="L57" s="4" t="s">
        <v>27</v>
      </c>
      <c r="M57" s="4" t="s">
        <v>33</v>
      </c>
      <c r="N57" s="4" t="s">
        <v>27</v>
      </c>
      <c r="O57" s="4"/>
      <c r="P57" s="32"/>
      <c r="Q57" s="3"/>
      <c r="R57" s="4"/>
      <c r="S57" s="32"/>
      <c r="T57" s="180"/>
      <c r="U57" s="174"/>
      <c r="V57" s="174"/>
      <c r="W57" s="190"/>
      <c r="X57" s="34"/>
      <c r="Y57" s="160" t="s">
        <v>467</v>
      </c>
      <c r="Z57" s="168" t="s">
        <v>606</v>
      </c>
      <c r="AA57" s="141"/>
      <c r="AB57" s="286"/>
      <c r="AC57" s="30"/>
      <c r="AD57" s="10"/>
      <c r="AH57" s="21">
        <v>1</v>
      </c>
      <c r="AI57" s="21" t="s">
        <v>116</v>
      </c>
      <c r="AJ57" s="21" t="s">
        <v>191</v>
      </c>
      <c r="AL57" s="21" t="s">
        <v>33</v>
      </c>
      <c r="AM57" s="21" t="s">
        <v>192</v>
      </c>
      <c r="AP5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58" spans="1:45" s="67" customFormat="1" ht="12" customHeight="1" thickBot="1">
      <c r="A58" s="160">
        <f t="shared" si="0"/>
        <v>56</v>
      </c>
      <c r="B58" s="143" t="s">
        <v>425</v>
      </c>
      <c r="C58" s="159" t="s">
        <v>31</v>
      </c>
      <c r="D58" s="284"/>
      <c r="E58" s="66" t="s">
        <v>117</v>
      </c>
      <c r="F58" s="138" t="s">
        <v>190</v>
      </c>
      <c r="G58" s="101" t="s">
        <v>313</v>
      </c>
      <c r="H58" s="40" t="s">
        <v>492</v>
      </c>
      <c r="I58" s="40" t="s">
        <v>76</v>
      </c>
      <c r="J58" s="97" t="s">
        <v>492</v>
      </c>
      <c r="K58" s="13" t="s">
        <v>95</v>
      </c>
      <c r="L58" s="13" t="s">
        <v>27</v>
      </c>
      <c r="M58" s="13" t="s">
        <v>33</v>
      </c>
      <c r="N58" s="13" t="s">
        <v>27</v>
      </c>
      <c r="O58" s="13"/>
      <c r="P58" s="41"/>
      <c r="Q58" s="12"/>
      <c r="R58" s="13"/>
      <c r="S58" s="41"/>
      <c r="T58" s="183"/>
      <c r="U58" s="177"/>
      <c r="V58" s="177"/>
      <c r="W58" s="193"/>
      <c r="X58" s="40"/>
      <c r="Y58" s="159" t="s">
        <v>468</v>
      </c>
      <c r="Z58" s="169" t="s">
        <v>607</v>
      </c>
      <c r="AA58" s="66"/>
      <c r="AB58" s="286"/>
      <c r="AC58" s="30"/>
      <c r="AD58" s="10"/>
      <c r="AH58" s="67">
        <v>1</v>
      </c>
      <c r="AI58" s="67" t="s">
        <v>116</v>
      </c>
      <c r="AJ58" s="67" t="s">
        <v>194</v>
      </c>
      <c r="AL58" s="67" t="s">
        <v>33</v>
      </c>
      <c r="AM58" s="67" t="s">
        <v>195</v>
      </c>
      <c r="AP58" s="67" t="e">
        <f>IF(#REF!="","",LEFT(#REF!,FIND("-",#REF!)) &amp; IF(VALUE(MID(#REF!,FIND("-",#REF!)+1,4))&lt;1000,RIGHT("0000" &amp; MID(#REF!,FIND("-",#REF!)+1,4)+100,4),MID(#REF!,FIND("-",#REF!)+1,4)+1000))</f>
        <v>#REF!</v>
      </c>
    </row>
    <row r="59" spans="1:45" s="38" customFormat="1" ht="12" customHeight="1">
      <c r="A59" s="160">
        <f t="shared" si="0"/>
        <v>57</v>
      </c>
      <c r="B59" s="135" t="s">
        <v>426</v>
      </c>
      <c r="C59" s="160" t="s">
        <v>31</v>
      </c>
      <c r="D59" s="283" t="s">
        <v>500</v>
      </c>
      <c r="E59" s="32" t="s">
        <v>117</v>
      </c>
      <c r="F59" s="49" t="s">
        <v>193</v>
      </c>
      <c r="G59" s="35" t="s">
        <v>313</v>
      </c>
      <c r="H59" s="34" t="s">
        <v>492</v>
      </c>
      <c r="I59" s="34" t="s">
        <v>76</v>
      </c>
      <c r="J59" s="1" t="s">
        <v>492</v>
      </c>
      <c r="K59" s="4" t="s">
        <v>95</v>
      </c>
      <c r="L59" s="4" t="s">
        <v>27</v>
      </c>
      <c r="M59" s="4" t="s">
        <v>33</v>
      </c>
      <c r="N59" s="4" t="s">
        <v>27</v>
      </c>
      <c r="O59" s="4"/>
      <c r="P59" s="32"/>
      <c r="Q59" s="3"/>
      <c r="R59" s="4"/>
      <c r="S59" s="32"/>
      <c r="T59" s="180"/>
      <c r="U59" s="174"/>
      <c r="V59" s="174"/>
      <c r="W59" s="190"/>
      <c r="X59" s="34"/>
      <c r="Y59" s="160" t="s">
        <v>469</v>
      </c>
      <c r="Z59" s="161" t="s">
        <v>608</v>
      </c>
      <c r="AA59" s="5"/>
      <c r="AB59" s="286"/>
      <c r="AC59" s="30"/>
      <c r="AD59" s="10"/>
      <c r="AE59" s="37" t="s">
        <v>120</v>
      </c>
      <c r="AF59" s="293"/>
      <c r="AG59" s="293"/>
      <c r="AH59" s="38">
        <v>1</v>
      </c>
      <c r="AI59" s="38" t="s">
        <v>196</v>
      </c>
      <c r="AJ59" s="38" t="s">
        <v>99</v>
      </c>
      <c r="AL59" s="38" t="s">
        <v>33</v>
      </c>
      <c r="AM59" s="38" t="s">
        <v>121</v>
      </c>
      <c r="AP59" s="38" t="e">
        <f>IF(#REF!="","",LEFT(#REF!,FIND("-",#REF!)) &amp; IF(VALUE(MID(#REF!,FIND("-",#REF!)+1,4))&lt;1000,RIGHT("0000" &amp; MID(#REF!,FIND("-",#REF!)+1,4)+100,4),MID(#REF!,FIND("-",#REF!)+1,4)+1000))</f>
        <v>#REF!</v>
      </c>
      <c r="AQ59" s="38" t="s">
        <v>199</v>
      </c>
      <c r="AS59" s="38" t="str">
        <f>UPPER(MID(AQ59,6,LEN(AQ59)))</f>
        <v>EXHAUSTER MODE ENABLE</v>
      </c>
    </row>
    <row r="60" spans="1:45" ht="12" customHeight="1">
      <c r="A60" s="160">
        <f t="shared" si="0"/>
        <v>58</v>
      </c>
      <c r="B60" s="37" t="s">
        <v>427</v>
      </c>
      <c r="C60" s="160" t="s">
        <v>31</v>
      </c>
      <c r="D60" s="283"/>
      <c r="E60" s="32" t="s">
        <v>117</v>
      </c>
      <c r="F60" s="49" t="s">
        <v>197</v>
      </c>
      <c r="G60" s="35" t="s">
        <v>198</v>
      </c>
      <c r="H60" s="34" t="s">
        <v>492</v>
      </c>
      <c r="I60" s="34" t="s">
        <v>76</v>
      </c>
      <c r="J60" s="1" t="s">
        <v>492</v>
      </c>
      <c r="K60" s="4" t="s">
        <v>95</v>
      </c>
      <c r="L60" s="4" t="s">
        <v>27</v>
      </c>
      <c r="M60" s="4" t="s">
        <v>33</v>
      </c>
      <c r="N60" s="4" t="s">
        <v>27</v>
      </c>
      <c r="O60" s="4"/>
      <c r="P60" s="32"/>
      <c r="Q60" s="3"/>
      <c r="R60" s="4"/>
      <c r="S60" s="32"/>
      <c r="T60" s="180"/>
      <c r="U60" s="174"/>
      <c r="V60" s="174"/>
      <c r="W60" s="190"/>
      <c r="X60" s="34" t="s">
        <v>462</v>
      </c>
      <c r="Y60" s="160" t="s">
        <v>457</v>
      </c>
      <c r="Z60" s="161" t="s">
        <v>609</v>
      </c>
      <c r="AA60" s="5"/>
      <c r="AB60" s="286"/>
      <c r="AC60" s="30" t="s">
        <v>746</v>
      </c>
      <c r="AD60" s="10" t="s">
        <v>751</v>
      </c>
      <c r="AE60" s="54" t="s">
        <v>120</v>
      </c>
      <c r="AF60" s="293"/>
      <c r="AG60" s="293"/>
      <c r="AH60" s="21">
        <v>1</v>
      </c>
      <c r="AI60" s="21" t="str">
        <f>AI59</f>
        <v>DI2</v>
      </c>
      <c r="AJ60" s="21" t="s">
        <v>101</v>
      </c>
      <c r="AL60" s="21" t="s">
        <v>33</v>
      </c>
      <c r="AM60" s="21" t="s">
        <v>123</v>
      </c>
      <c r="AP60" s="21" t="e">
        <f>IF(#REF!="","",LEFT(#REF!,FIND("-",#REF!)) &amp; IF(VALUE(MID(#REF!,FIND("-",#REF!)+1,4))&lt;1000,RIGHT("0000" &amp; MID(#REF!,FIND("-",#REF!)+1,4)+100,4),MID(#REF!,FIND("-",#REF!)+1,4)+1000))</f>
        <v>#REF!</v>
      </c>
      <c r="AQ60" s="21" t="s">
        <v>200</v>
      </c>
      <c r="AS60" s="21" t="str">
        <f t="shared" ref="AS60:AS67" si="1">UPPER(MID(AQ60,6,LEN(AQ60)))</f>
        <v>MAC MODE ENABLE</v>
      </c>
    </row>
    <row r="61" spans="1:45" ht="12" customHeight="1">
      <c r="A61" s="160">
        <f t="shared" si="0"/>
        <v>59</v>
      </c>
      <c r="B61" s="135" t="s">
        <v>433</v>
      </c>
      <c r="C61" s="160" t="s">
        <v>31</v>
      </c>
      <c r="D61" s="283"/>
      <c r="E61" s="32" t="s">
        <v>117</v>
      </c>
      <c r="F61" s="36" t="s">
        <v>549</v>
      </c>
      <c r="G61" s="35" t="s">
        <v>313</v>
      </c>
      <c r="H61" s="30" t="s">
        <v>492</v>
      </c>
      <c r="I61" s="45" t="s">
        <v>76</v>
      </c>
      <c r="J61" s="8" t="s">
        <v>492</v>
      </c>
      <c r="K61" s="10" t="s">
        <v>95</v>
      </c>
      <c r="L61" s="10" t="s">
        <v>27</v>
      </c>
      <c r="M61" s="10" t="s">
        <v>33</v>
      </c>
      <c r="N61" s="10" t="s">
        <v>27</v>
      </c>
      <c r="O61" s="4"/>
      <c r="P61" s="32"/>
      <c r="Q61" s="3"/>
      <c r="R61" s="4"/>
      <c r="S61" s="32"/>
      <c r="T61" s="180"/>
      <c r="U61" s="174"/>
      <c r="V61" s="174"/>
      <c r="W61" s="190"/>
      <c r="X61" s="51"/>
      <c r="Y61" s="5" t="s">
        <v>470</v>
      </c>
      <c r="Z61" s="161" t="s">
        <v>610</v>
      </c>
      <c r="AA61" s="5"/>
      <c r="AB61" s="286"/>
      <c r="AC61" s="30"/>
      <c r="AD61" s="10"/>
      <c r="AE61" s="54" t="s">
        <v>120</v>
      </c>
      <c r="AF61" s="293"/>
      <c r="AG61" s="293"/>
      <c r="AH61" s="21">
        <v>1</v>
      </c>
      <c r="AI61" s="21" t="str">
        <f t="shared" ref="AI61:AI74" si="2">AI60</f>
        <v>DI2</v>
      </c>
      <c r="AJ61" s="21" t="s">
        <v>103</v>
      </c>
      <c r="AL61" s="21" t="s">
        <v>33</v>
      </c>
      <c r="AM61" s="21" t="s">
        <v>124</v>
      </c>
      <c r="AP61" s="21" t="e">
        <f>IF(#REF!="","",LEFT(#REF!,FIND("-",#REF!)) &amp; IF(VALUE(MID(#REF!,FIND("-",#REF!)+1,4))&lt;1000,RIGHT("0000" &amp; MID(#REF!,FIND("-",#REF!)+1,4)+100,4),MID(#REF!,FIND("-",#REF!)+1,4)+1000))</f>
        <v>#REF!</v>
      </c>
      <c r="AQ61" s="21" t="s">
        <v>201</v>
      </c>
      <c r="AS61" s="21" t="str">
        <f t="shared" si="1"/>
        <v>MAC CONSTANT PRESSURE MODE ENABLE</v>
      </c>
    </row>
    <row r="62" spans="1:45" ht="12" customHeight="1">
      <c r="A62" s="160">
        <f t="shared" si="0"/>
        <v>60</v>
      </c>
      <c r="B62" s="134" t="s">
        <v>434</v>
      </c>
      <c r="C62" s="160" t="s">
        <v>31</v>
      </c>
      <c r="D62" s="283"/>
      <c r="E62" s="32" t="s">
        <v>117</v>
      </c>
      <c r="F62" s="36" t="s">
        <v>550</v>
      </c>
      <c r="G62" s="35" t="s">
        <v>313</v>
      </c>
      <c r="H62" s="30" t="s">
        <v>492</v>
      </c>
      <c r="I62" s="45" t="s">
        <v>76</v>
      </c>
      <c r="J62" s="8" t="s">
        <v>492</v>
      </c>
      <c r="K62" s="10"/>
      <c r="L62" s="10"/>
      <c r="M62" s="10"/>
      <c r="N62" s="10"/>
      <c r="O62" s="4"/>
      <c r="P62" s="32"/>
      <c r="Q62" s="3"/>
      <c r="R62" s="4"/>
      <c r="S62" s="32"/>
      <c r="T62" s="180"/>
      <c r="U62" s="174"/>
      <c r="V62" s="174"/>
      <c r="W62" s="190"/>
      <c r="X62" s="51"/>
      <c r="Y62" s="5" t="s">
        <v>470</v>
      </c>
      <c r="Z62" s="161" t="s">
        <v>611</v>
      </c>
      <c r="AA62" s="5"/>
      <c r="AB62" s="287"/>
      <c r="AC62" s="30"/>
      <c r="AD62" s="10"/>
      <c r="AE62" s="54" t="s">
        <v>120</v>
      </c>
      <c r="AF62" s="293"/>
      <c r="AG62" s="293"/>
      <c r="AH62" s="21">
        <v>1</v>
      </c>
      <c r="AI62" s="21" t="str">
        <f t="shared" si="2"/>
        <v>DI2</v>
      </c>
      <c r="AJ62" s="21" t="s">
        <v>105</v>
      </c>
      <c r="AL62" s="21" t="s">
        <v>33</v>
      </c>
      <c r="AM62" s="21" t="s">
        <v>128</v>
      </c>
      <c r="AP62" s="21" t="e">
        <f>IF(#REF!="","",LEFT(#REF!,FIND("-",#REF!)) &amp; IF(VALUE(MID(#REF!,FIND("-",#REF!)+1,4))&lt;1000,RIGHT("0000" &amp; MID(#REF!,FIND("-",#REF!)+1,4)+100,4),MID(#REF!,FIND("-",#REF!)+1,4)+1000))</f>
        <v>#REF!</v>
      </c>
      <c r="AQ62" s="21" t="s">
        <v>202</v>
      </c>
      <c r="AS62" s="21" t="str">
        <f t="shared" si="1"/>
        <v>MAC HIC MODE ENABLE</v>
      </c>
    </row>
    <row r="63" spans="1:45" ht="12" customHeight="1">
      <c r="A63" s="160">
        <f t="shared" si="0"/>
        <v>61</v>
      </c>
      <c r="B63" s="134" t="s">
        <v>435</v>
      </c>
      <c r="C63" s="160" t="s">
        <v>31</v>
      </c>
      <c r="D63" s="283"/>
      <c r="E63" s="32" t="s">
        <v>117</v>
      </c>
      <c r="F63" s="49" t="s">
        <v>541</v>
      </c>
      <c r="G63" s="35" t="s">
        <v>313</v>
      </c>
      <c r="H63" s="30" t="s">
        <v>492</v>
      </c>
      <c r="I63" s="45" t="s">
        <v>76</v>
      </c>
      <c r="J63" s="8" t="s">
        <v>492</v>
      </c>
      <c r="K63" s="10"/>
      <c r="L63" s="10"/>
      <c r="M63" s="10"/>
      <c r="N63" s="10"/>
      <c r="O63" s="4"/>
      <c r="P63" s="32"/>
      <c r="Q63" s="3"/>
      <c r="R63" s="4"/>
      <c r="S63" s="32"/>
      <c r="T63" s="180"/>
      <c r="U63" s="174"/>
      <c r="V63" s="174"/>
      <c r="W63" s="190"/>
      <c r="X63" s="51"/>
      <c r="Y63" s="5" t="s">
        <v>470</v>
      </c>
      <c r="Z63" s="170" t="s">
        <v>612</v>
      </c>
      <c r="AA63" s="5"/>
      <c r="AB63" s="288"/>
      <c r="AC63" s="30"/>
      <c r="AD63" s="10"/>
      <c r="AE63" s="54" t="s">
        <v>120</v>
      </c>
      <c r="AF63" s="293"/>
      <c r="AG63" s="293"/>
      <c r="AH63" s="21">
        <v>1</v>
      </c>
      <c r="AI63" s="21" t="str">
        <f t="shared" si="2"/>
        <v>DI2</v>
      </c>
      <c r="AJ63" s="21" t="s">
        <v>107</v>
      </c>
      <c r="AL63" s="21" t="s">
        <v>33</v>
      </c>
      <c r="AM63" s="21" t="s">
        <v>130</v>
      </c>
      <c r="AP63" s="21" t="e">
        <f>IF(#REF!="","",LEFT(#REF!,FIND("-",#REF!)) &amp; IF(VALUE(MID(#REF!,FIND("-",#REF!)+1,4))&lt;1000,RIGHT("0000" &amp; MID(#REF!,FIND("-",#REF!)+1,4)+100,4),MID(#REF!,FIND("-",#REF!)+1,4)+1000))</f>
        <v>#REF!</v>
      </c>
      <c r="AQ63" s="21" t="s">
        <v>203</v>
      </c>
      <c r="AS63" s="21" t="str">
        <f t="shared" si="1"/>
        <v>START</v>
      </c>
    </row>
    <row r="64" spans="1:45" ht="12" customHeight="1">
      <c r="A64" s="160">
        <f t="shared" si="0"/>
        <v>62</v>
      </c>
      <c r="B64" s="134"/>
      <c r="C64" s="160" t="s">
        <v>31</v>
      </c>
      <c r="D64" s="283"/>
      <c r="E64" s="32" t="s">
        <v>117</v>
      </c>
      <c r="F64" s="99" t="s">
        <v>83</v>
      </c>
      <c r="G64" s="99"/>
      <c r="H64" s="30"/>
      <c r="I64" s="31"/>
      <c r="J64" s="8"/>
      <c r="K64" s="10" t="s">
        <v>95</v>
      </c>
      <c r="L64" s="10" t="s">
        <v>27</v>
      </c>
      <c r="M64" s="10" t="s">
        <v>33</v>
      </c>
      <c r="N64" s="10" t="s">
        <v>27</v>
      </c>
      <c r="O64" s="4"/>
      <c r="P64" s="32"/>
      <c r="Q64" s="3"/>
      <c r="R64" s="4"/>
      <c r="S64" s="32"/>
      <c r="T64" s="180"/>
      <c r="U64" s="174"/>
      <c r="V64" s="174"/>
      <c r="W64" s="190"/>
      <c r="X64" s="51"/>
      <c r="Y64" s="5"/>
      <c r="Z64" s="161" t="s">
        <v>613</v>
      </c>
      <c r="AA64" s="5"/>
      <c r="AB64" s="286"/>
      <c r="AC64" s="30"/>
      <c r="AD64" s="10"/>
      <c r="AE64" s="54" t="s">
        <v>120</v>
      </c>
      <c r="AF64" s="293"/>
      <c r="AG64" s="293"/>
      <c r="AH64" s="21">
        <v>1</v>
      </c>
      <c r="AI64" s="21" t="str">
        <f t="shared" si="2"/>
        <v>DI2</v>
      </c>
      <c r="AJ64" s="21" t="s">
        <v>109</v>
      </c>
      <c r="AL64" s="21" t="s">
        <v>33</v>
      </c>
      <c r="AM64" s="21" t="s">
        <v>131</v>
      </c>
      <c r="AP64" s="21" t="e">
        <f>IF(#REF!="","",LEFT(#REF!,FIND("-",#REF!)) &amp; IF(VALUE(MID(#REF!,FIND("-",#REF!)+1,4))&lt;1000,RIGHT("0000" &amp; MID(#REF!,FIND("-",#REF!)+1,4)+100,4),MID(#REF!,FIND("-",#REF!)+1,4)+1000))</f>
        <v>#REF!</v>
      </c>
      <c r="AQ64" s="21" t="s">
        <v>204</v>
      </c>
      <c r="AS64" s="21" t="str">
        <f t="shared" si="1"/>
        <v>STOP</v>
      </c>
    </row>
    <row r="65" spans="1:45" ht="12" customHeight="1">
      <c r="A65" s="160">
        <f t="shared" si="0"/>
        <v>63</v>
      </c>
      <c r="B65" s="134"/>
      <c r="C65" s="160" t="s">
        <v>31</v>
      </c>
      <c r="D65" s="283"/>
      <c r="E65" s="32" t="s">
        <v>117</v>
      </c>
      <c r="F65" s="99" t="s">
        <v>83</v>
      </c>
      <c r="G65" s="99"/>
      <c r="H65" s="30"/>
      <c r="I65" s="46"/>
      <c r="J65" s="8"/>
      <c r="K65" s="10" t="s">
        <v>95</v>
      </c>
      <c r="L65" s="10" t="s">
        <v>27</v>
      </c>
      <c r="M65" s="10" t="s">
        <v>33</v>
      </c>
      <c r="N65" s="10" t="s">
        <v>27</v>
      </c>
      <c r="O65" s="4"/>
      <c r="P65" s="32"/>
      <c r="Q65" s="3"/>
      <c r="R65" s="4"/>
      <c r="S65" s="32"/>
      <c r="T65" s="180"/>
      <c r="U65" s="174"/>
      <c r="V65" s="174"/>
      <c r="W65" s="190"/>
      <c r="X65" s="51"/>
      <c r="Y65" s="5"/>
      <c r="Z65" s="161" t="s">
        <v>614</v>
      </c>
      <c r="AA65" s="5"/>
      <c r="AB65" s="286"/>
      <c r="AC65" s="30"/>
      <c r="AD65" s="10"/>
      <c r="AE65" s="54" t="s">
        <v>120</v>
      </c>
      <c r="AF65" s="293"/>
      <c r="AG65" s="293"/>
      <c r="AH65" s="21">
        <v>1</v>
      </c>
      <c r="AI65" s="21" t="str">
        <f t="shared" si="2"/>
        <v>DI2</v>
      </c>
      <c r="AJ65" s="21" t="s">
        <v>113</v>
      </c>
      <c r="AL65" s="21" t="s">
        <v>33</v>
      </c>
      <c r="AM65" s="21" t="s">
        <v>134</v>
      </c>
      <c r="AP65" s="21" t="e">
        <f>IF(#REF!="","",LEFT(#REF!,FIND("-",#REF!)) &amp; IF(VALUE(MID(#REF!,FIND("-",#REF!)+1,4))&lt;1000,RIGHT("0000" &amp; MID(#REF!,FIND("-",#REF!)+1,4)+100,4),MID(#REF!,FIND("-",#REF!)+1,4)+1000))</f>
        <v>#REF!</v>
      </c>
      <c r="AQ65" s="21" t="s">
        <v>205</v>
      </c>
      <c r="AS65" s="21" t="str">
        <f t="shared" si="1"/>
        <v>AUTO (LOAD)</v>
      </c>
    </row>
    <row r="66" spans="1:45" s="38" customFormat="1" ht="12" customHeight="1">
      <c r="A66" s="160">
        <f t="shared" si="0"/>
        <v>64</v>
      </c>
      <c r="B66" s="134"/>
      <c r="C66" s="160" t="s">
        <v>31</v>
      </c>
      <c r="D66" s="283"/>
      <c r="E66" s="32" t="s">
        <v>117</v>
      </c>
      <c r="F66" s="99" t="s">
        <v>83</v>
      </c>
      <c r="G66" s="35"/>
      <c r="H66" s="30"/>
      <c r="I66" s="46"/>
      <c r="J66" s="8"/>
      <c r="K66" s="10" t="s">
        <v>95</v>
      </c>
      <c r="L66" s="10" t="s">
        <v>27</v>
      </c>
      <c r="M66" s="10" t="s">
        <v>33</v>
      </c>
      <c r="N66" s="10" t="s">
        <v>27</v>
      </c>
      <c r="O66" s="10"/>
      <c r="P66" s="33"/>
      <c r="Q66" s="3"/>
      <c r="R66" s="4"/>
      <c r="S66" s="32"/>
      <c r="T66" s="181"/>
      <c r="U66" s="175"/>
      <c r="V66" s="175"/>
      <c r="W66" s="191"/>
      <c r="X66" s="55"/>
      <c r="Y66" s="11"/>
      <c r="Z66" s="162" t="s">
        <v>615</v>
      </c>
      <c r="AA66" s="11"/>
      <c r="AB66" s="286"/>
      <c r="AC66" s="30"/>
      <c r="AD66" s="10"/>
      <c r="AE66" s="37" t="s">
        <v>120</v>
      </c>
      <c r="AF66" s="293"/>
      <c r="AG66" s="293"/>
      <c r="AH66" s="38">
        <v>1</v>
      </c>
      <c r="AI66" s="38" t="str">
        <f t="shared" si="2"/>
        <v>DI2</v>
      </c>
      <c r="AJ66" s="38" t="s">
        <v>115</v>
      </c>
      <c r="AL66" s="38" t="s">
        <v>33</v>
      </c>
      <c r="AM66" s="38" t="s">
        <v>136</v>
      </c>
      <c r="AP66" s="38" t="e">
        <f>IF(#REF!="","",LEFT(#REF!,FIND("-",#REF!)) &amp; IF(VALUE(MID(#REF!,FIND("-",#REF!)+1,4))&lt;1000,RIGHT("0000" &amp; MID(#REF!,FIND("-",#REF!)+1,4)+100,4),MID(#REF!,FIND("-",#REF!)+1,4)+1000))</f>
        <v>#REF!</v>
      </c>
      <c r="AQ66" s="38" t="s">
        <v>206</v>
      </c>
      <c r="AS66" s="38" t="str">
        <f t="shared" si="1"/>
        <v>UNLOAD</v>
      </c>
    </row>
    <row r="67" spans="1:45" ht="12" customHeight="1">
      <c r="A67" s="160">
        <f t="shared" si="0"/>
        <v>65</v>
      </c>
      <c r="B67" s="144" t="s">
        <v>362</v>
      </c>
      <c r="C67" s="160" t="s">
        <v>31</v>
      </c>
      <c r="D67" s="283"/>
      <c r="E67" s="32" t="s">
        <v>117</v>
      </c>
      <c r="F67" s="36" t="s">
        <v>207</v>
      </c>
      <c r="G67" s="99" t="s">
        <v>208</v>
      </c>
      <c r="H67" s="44" t="s">
        <v>17</v>
      </c>
      <c r="I67" s="45" t="s">
        <v>76</v>
      </c>
      <c r="J67" s="1" t="s">
        <v>492</v>
      </c>
      <c r="K67" s="4"/>
      <c r="L67" s="4"/>
      <c r="M67" s="4"/>
      <c r="N67" s="4"/>
      <c r="O67" s="4"/>
      <c r="P67" s="32"/>
      <c r="Q67" s="3"/>
      <c r="R67" s="4"/>
      <c r="S67" s="32"/>
      <c r="T67" s="180"/>
      <c r="U67" s="174"/>
      <c r="V67" s="174"/>
      <c r="W67" s="190"/>
      <c r="X67" s="5" t="s">
        <v>459</v>
      </c>
      <c r="Y67" s="5" t="s">
        <v>460</v>
      </c>
      <c r="Z67" s="161" t="s">
        <v>616</v>
      </c>
      <c r="AA67" s="5"/>
      <c r="AB67" s="286"/>
      <c r="AC67" s="30"/>
      <c r="AD67" s="10"/>
      <c r="AE67" s="54"/>
      <c r="AF67" s="293"/>
      <c r="AG67" s="293"/>
      <c r="AH67" s="21">
        <v>1</v>
      </c>
      <c r="AI67" s="21" t="str">
        <f t="shared" si="2"/>
        <v>DI2</v>
      </c>
      <c r="AJ67" s="21" t="s">
        <v>77</v>
      </c>
      <c r="AL67" s="21" t="s">
        <v>33</v>
      </c>
      <c r="AM67" s="21" t="s">
        <v>137</v>
      </c>
      <c r="AP67" s="21" t="e">
        <f>IF(#REF!="","",LEFT(#REF!,FIND("-",#REF!)) &amp; IF(VALUE(MID(#REF!,FIND("-",#REF!)+1,4))&lt;1000,RIGHT("0000" &amp; MID(#REF!,FIND("-",#REF!)+1,4)+100,4),MID(#REF!,FIND("-",#REF!)+1,4)+1000))</f>
        <v>#REF!</v>
      </c>
      <c r="AQ67" s="21" t="s">
        <v>209</v>
      </c>
      <c r="AS67" s="21" t="str">
        <f t="shared" si="1"/>
        <v>REMOTE E-STOP</v>
      </c>
    </row>
    <row r="68" spans="1:45" ht="12" customHeight="1">
      <c r="A68" s="160">
        <f t="shared" ref="A68:A131" si="3">A67+1</f>
        <v>66</v>
      </c>
      <c r="B68" s="144" t="s">
        <v>363</v>
      </c>
      <c r="C68" s="160" t="s">
        <v>31</v>
      </c>
      <c r="D68" s="283"/>
      <c r="E68" s="33" t="s">
        <v>117</v>
      </c>
      <c r="F68" s="36" t="s">
        <v>210</v>
      </c>
      <c r="G68" s="99" t="s">
        <v>208</v>
      </c>
      <c r="H68" s="30" t="s">
        <v>17</v>
      </c>
      <c r="I68" s="45" t="s">
        <v>76</v>
      </c>
      <c r="J68" s="8" t="s">
        <v>492</v>
      </c>
      <c r="K68" s="10"/>
      <c r="L68" s="10"/>
      <c r="M68" s="10"/>
      <c r="N68" s="10"/>
      <c r="O68" s="10"/>
      <c r="P68" s="33"/>
      <c r="Q68" s="6"/>
      <c r="R68" s="10"/>
      <c r="S68" s="33"/>
      <c r="T68" s="181"/>
      <c r="U68" s="175"/>
      <c r="V68" s="175"/>
      <c r="W68" s="191"/>
      <c r="X68" s="5" t="s">
        <v>459</v>
      </c>
      <c r="Y68" s="124" t="s">
        <v>460</v>
      </c>
      <c r="Z68" s="166" t="s">
        <v>617</v>
      </c>
      <c r="AA68" s="11"/>
      <c r="AB68" s="287"/>
      <c r="AC68" s="30"/>
      <c r="AD68" s="10"/>
      <c r="AH68" s="21">
        <v>1</v>
      </c>
      <c r="AI68" s="21" t="str">
        <f t="shared" si="2"/>
        <v>DI2</v>
      </c>
      <c r="AJ68" s="21" t="s">
        <v>81</v>
      </c>
      <c r="AL68" s="21" t="s">
        <v>33</v>
      </c>
      <c r="AM68" s="21" t="s">
        <v>140</v>
      </c>
      <c r="AP6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69" spans="1:45" ht="12" customHeight="1">
      <c r="A69" s="160">
        <f t="shared" si="3"/>
        <v>67</v>
      </c>
      <c r="B69" s="135" t="s">
        <v>364</v>
      </c>
      <c r="C69" s="160" t="s">
        <v>31</v>
      </c>
      <c r="D69" s="283"/>
      <c r="E69" s="33" t="s">
        <v>117</v>
      </c>
      <c r="F69" s="36" t="s">
        <v>211</v>
      </c>
      <c r="G69" s="99" t="s">
        <v>208</v>
      </c>
      <c r="H69" s="30" t="s">
        <v>17</v>
      </c>
      <c r="I69" s="45" t="s">
        <v>76</v>
      </c>
      <c r="J69" s="8" t="s">
        <v>492</v>
      </c>
      <c r="K69" s="10" t="s">
        <v>95</v>
      </c>
      <c r="L69" s="10" t="s">
        <v>27</v>
      </c>
      <c r="M69" s="10" t="s">
        <v>33</v>
      </c>
      <c r="N69" s="10" t="s">
        <v>27</v>
      </c>
      <c r="O69" s="10"/>
      <c r="P69" s="33"/>
      <c r="Q69" s="6"/>
      <c r="R69" s="10"/>
      <c r="S69" s="33"/>
      <c r="T69" s="181"/>
      <c r="U69" s="175"/>
      <c r="V69" s="175"/>
      <c r="W69" s="191"/>
      <c r="X69" s="5" t="s">
        <v>459</v>
      </c>
      <c r="Y69" s="11" t="s">
        <v>460</v>
      </c>
      <c r="Z69" s="162" t="s">
        <v>618</v>
      </c>
      <c r="AA69" s="11"/>
      <c r="AB69" s="288"/>
      <c r="AC69" s="30"/>
      <c r="AD69" s="10"/>
      <c r="AE69" s="54" t="s">
        <v>120</v>
      </c>
      <c r="AF69" s="293"/>
      <c r="AG69" s="293"/>
      <c r="AH69" s="21">
        <v>1</v>
      </c>
      <c r="AI69" s="21" t="str">
        <f t="shared" si="2"/>
        <v>DI2</v>
      </c>
      <c r="AJ69" s="21" t="s">
        <v>93</v>
      </c>
      <c r="AL69" s="21" t="s">
        <v>33</v>
      </c>
      <c r="AM69" s="21" t="s">
        <v>142</v>
      </c>
      <c r="AP6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0" spans="1:45" ht="12" customHeight="1">
      <c r="A70" s="160">
        <f t="shared" si="3"/>
        <v>68</v>
      </c>
      <c r="B70" s="7" t="s">
        <v>365</v>
      </c>
      <c r="C70" s="160" t="s">
        <v>31</v>
      </c>
      <c r="D70" s="283"/>
      <c r="E70" s="33" t="s">
        <v>117</v>
      </c>
      <c r="F70" s="36" t="s">
        <v>212</v>
      </c>
      <c r="G70" s="99" t="s">
        <v>208</v>
      </c>
      <c r="H70" s="30" t="s">
        <v>17</v>
      </c>
      <c r="I70" s="45" t="s">
        <v>76</v>
      </c>
      <c r="J70" s="8" t="s">
        <v>492</v>
      </c>
      <c r="K70" s="10" t="s">
        <v>95</v>
      </c>
      <c r="L70" s="10" t="s">
        <v>27</v>
      </c>
      <c r="M70" s="10" t="s">
        <v>33</v>
      </c>
      <c r="N70" s="10" t="s">
        <v>27</v>
      </c>
      <c r="O70" s="10"/>
      <c r="P70" s="33"/>
      <c r="Q70" s="6"/>
      <c r="R70" s="10"/>
      <c r="S70" s="33"/>
      <c r="T70" s="181"/>
      <c r="U70" s="175"/>
      <c r="V70" s="175"/>
      <c r="W70" s="191"/>
      <c r="X70" s="5" t="s">
        <v>459</v>
      </c>
      <c r="Y70" s="124" t="s">
        <v>460</v>
      </c>
      <c r="Z70" s="166" t="s">
        <v>619</v>
      </c>
      <c r="AA70" s="11"/>
      <c r="AB70" s="286"/>
      <c r="AC70" s="30"/>
      <c r="AD70" s="10"/>
      <c r="AE70" s="54"/>
      <c r="AF70" s="293"/>
      <c r="AG70" s="293"/>
      <c r="AH70" s="21">
        <v>1</v>
      </c>
      <c r="AI70" s="21" t="str">
        <f t="shared" si="2"/>
        <v>DI2</v>
      </c>
      <c r="AJ70" s="21" t="s">
        <v>96</v>
      </c>
      <c r="AL70" s="21" t="s">
        <v>33</v>
      </c>
      <c r="AM70" s="21" t="s">
        <v>145</v>
      </c>
      <c r="AP7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1" spans="1:45" ht="12" customHeight="1">
      <c r="A71" s="160">
        <f t="shared" si="3"/>
        <v>69</v>
      </c>
      <c r="B71" s="134" t="s">
        <v>366</v>
      </c>
      <c r="C71" s="160" t="s">
        <v>31</v>
      </c>
      <c r="D71" s="283"/>
      <c r="E71" s="33" t="s">
        <v>117</v>
      </c>
      <c r="F71" s="36" t="s">
        <v>213</v>
      </c>
      <c r="G71" s="99" t="s">
        <v>208</v>
      </c>
      <c r="H71" s="30" t="s">
        <v>17</v>
      </c>
      <c r="I71" s="45" t="s">
        <v>76</v>
      </c>
      <c r="J71" s="8" t="s">
        <v>492</v>
      </c>
      <c r="K71" s="10" t="s">
        <v>95</v>
      </c>
      <c r="L71" s="10" t="s">
        <v>27</v>
      </c>
      <c r="M71" s="10" t="s">
        <v>33</v>
      </c>
      <c r="N71" s="10" t="s">
        <v>27</v>
      </c>
      <c r="O71" s="10"/>
      <c r="P71" s="33"/>
      <c r="Q71" s="6"/>
      <c r="R71" s="10"/>
      <c r="S71" s="33"/>
      <c r="T71" s="181"/>
      <c r="U71" s="175"/>
      <c r="V71" s="175"/>
      <c r="W71" s="191"/>
      <c r="X71" s="5" t="s">
        <v>459</v>
      </c>
      <c r="Y71" s="124" t="s">
        <v>460</v>
      </c>
      <c r="Z71" s="166" t="s">
        <v>620</v>
      </c>
      <c r="AA71" s="11"/>
      <c r="AB71" s="286"/>
      <c r="AC71" s="30"/>
      <c r="AD71" s="10"/>
      <c r="AE71" s="54"/>
      <c r="AF71" s="293"/>
      <c r="AG71" s="293"/>
      <c r="AH71" s="21">
        <v>1</v>
      </c>
      <c r="AI71" s="21" t="str">
        <f t="shared" si="2"/>
        <v>DI2</v>
      </c>
      <c r="AJ71" s="21" t="s">
        <v>85</v>
      </c>
      <c r="AL71" s="21" t="s">
        <v>33</v>
      </c>
      <c r="AM71" s="21" t="s">
        <v>147</v>
      </c>
      <c r="AP7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2" spans="1:45" ht="12" customHeight="1">
      <c r="A72" s="160">
        <f t="shared" si="3"/>
        <v>70</v>
      </c>
      <c r="B72" s="38" t="s">
        <v>367</v>
      </c>
      <c r="C72" s="160" t="s">
        <v>31</v>
      </c>
      <c r="D72" s="283"/>
      <c r="E72" s="33" t="s">
        <v>117</v>
      </c>
      <c r="F72" s="122" t="s">
        <v>214</v>
      </c>
      <c r="G72" s="99" t="s">
        <v>208</v>
      </c>
      <c r="H72" s="30" t="s">
        <v>17</v>
      </c>
      <c r="I72" s="45" t="s">
        <v>76</v>
      </c>
      <c r="J72" s="8" t="s">
        <v>492</v>
      </c>
      <c r="K72" s="10"/>
      <c r="L72" s="10"/>
      <c r="M72" s="10"/>
      <c r="N72" s="10"/>
      <c r="O72" s="10"/>
      <c r="P72" s="33"/>
      <c r="Q72" s="6"/>
      <c r="R72" s="10"/>
      <c r="S72" s="33"/>
      <c r="T72" s="181"/>
      <c r="U72" s="175"/>
      <c r="V72" s="175"/>
      <c r="W72" s="191"/>
      <c r="X72" s="46" t="s">
        <v>471</v>
      </c>
      <c r="Y72" s="124"/>
      <c r="Z72" s="166" t="s">
        <v>621</v>
      </c>
      <c r="AA72" s="11"/>
      <c r="AB72" s="286"/>
      <c r="AC72" s="30" t="s">
        <v>743</v>
      </c>
      <c r="AD72" s="10" t="s">
        <v>750</v>
      </c>
      <c r="AE72" s="54"/>
      <c r="AF72" s="293"/>
      <c r="AG72" s="293"/>
      <c r="AH72" s="21">
        <v>1</v>
      </c>
      <c r="AI72" s="21" t="str">
        <f t="shared" si="2"/>
        <v>DI2</v>
      </c>
      <c r="AJ72" s="21" t="s">
        <v>87</v>
      </c>
      <c r="AL72" s="21" t="s">
        <v>33</v>
      </c>
      <c r="AM72" s="21" t="s">
        <v>149</v>
      </c>
      <c r="AP72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3" spans="1:45" ht="12" customHeight="1">
      <c r="A73" s="160">
        <f t="shared" si="3"/>
        <v>71</v>
      </c>
      <c r="B73" s="7" t="s">
        <v>368</v>
      </c>
      <c r="C73" s="160" t="s">
        <v>31</v>
      </c>
      <c r="D73" s="283"/>
      <c r="E73" s="33" t="s">
        <v>117</v>
      </c>
      <c r="F73" s="142" t="s">
        <v>215</v>
      </c>
      <c r="G73" s="99" t="s">
        <v>208</v>
      </c>
      <c r="H73" s="9" t="s">
        <v>17</v>
      </c>
      <c r="I73" s="45" t="s">
        <v>76</v>
      </c>
      <c r="J73" s="8" t="s">
        <v>492</v>
      </c>
      <c r="K73" s="10" t="s">
        <v>95</v>
      </c>
      <c r="L73" s="10" t="s">
        <v>27</v>
      </c>
      <c r="M73" s="10" t="s">
        <v>33</v>
      </c>
      <c r="N73" s="10" t="s">
        <v>27</v>
      </c>
      <c r="O73" s="10"/>
      <c r="P73" s="33"/>
      <c r="Q73" s="6"/>
      <c r="R73" s="10"/>
      <c r="S73" s="33"/>
      <c r="T73" s="181"/>
      <c r="U73" s="175"/>
      <c r="V73" s="175"/>
      <c r="W73" s="191"/>
      <c r="X73" s="11" t="s">
        <v>471</v>
      </c>
      <c r="Y73" s="11"/>
      <c r="Z73" s="162" t="s">
        <v>622</v>
      </c>
      <c r="AA73" s="11"/>
      <c r="AB73" s="286"/>
      <c r="AC73" s="30" t="s">
        <v>743</v>
      </c>
      <c r="AD73" s="10" t="s">
        <v>750</v>
      </c>
      <c r="AE73" s="54"/>
      <c r="AF73" s="293"/>
      <c r="AG73" s="293"/>
      <c r="AH73" s="21">
        <v>1</v>
      </c>
      <c r="AI73" s="21" t="str">
        <f t="shared" si="2"/>
        <v>DI2</v>
      </c>
      <c r="AJ73" s="21" t="s">
        <v>89</v>
      </c>
      <c r="AL73" s="21" t="s">
        <v>33</v>
      </c>
      <c r="AM73" s="21" t="s">
        <v>151</v>
      </c>
      <c r="AP7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4" spans="1:45" s="43" customFormat="1" ht="12" customHeight="1" thickBot="1">
      <c r="A74" s="160">
        <f t="shared" si="3"/>
        <v>72</v>
      </c>
      <c r="B74" s="143" t="s">
        <v>420</v>
      </c>
      <c r="C74" s="159" t="s">
        <v>31</v>
      </c>
      <c r="D74" s="284"/>
      <c r="E74" s="65" t="s">
        <v>117</v>
      </c>
      <c r="F74" s="145" t="s">
        <v>216</v>
      </c>
      <c r="G74" s="101" t="s">
        <v>208</v>
      </c>
      <c r="H74" s="102" t="s">
        <v>17</v>
      </c>
      <c r="I74" s="103" t="s">
        <v>76</v>
      </c>
      <c r="J74" s="62" t="s">
        <v>492</v>
      </c>
      <c r="K74" s="63" t="s">
        <v>95</v>
      </c>
      <c r="L74" s="63" t="s">
        <v>27</v>
      </c>
      <c r="M74" s="63" t="s">
        <v>33</v>
      </c>
      <c r="N74" s="63" t="s">
        <v>27</v>
      </c>
      <c r="O74" s="63"/>
      <c r="P74" s="65"/>
      <c r="Q74" s="64"/>
      <c r="R74" s="63"/>
      <c r="S74" s="65"/>
      <c r="T74" s="188"/>
      <c r="U74" s="178"/>
      <c r="V74" s="178"/>
      <c r="W74" s="194"/>
      <c r="X74" s="66" t="s">
        <v>459</v>
      </c>
      <c r="Y74" s="66" t="s">
        <v>472</v>
      </c>
      <c r="Z74" s="167" t="s">
        <v>623</v>
      </c>
      <c r="AA74" s="66"/>
      <c r="AB74" s="289"/>
      <c r="AC74" s="30"/>
      <c r="AD74" s="10"/>
      <c r="AE74" s="42"/>
      <c r="AF74" s="293"/>
      <c r="AG74" s="293"/>
      <c r="AH74" s="43">
        <v>1</v>
      </c>
      <c r="AI74" s="43" t="str">
        <f t="shared" si="2"/>
        <v>DI2</v>
      </c>
      <c r="AJ74" s="43" t="s">
        <v>152</v>
      </c>
      <c r="AL74" s="43" t="s">
        <v>33</v>
      </c>
      <c r="AM74" s="43" t="s">
        <v>153</v>
      </c>
      <c r="AP74" s="43" t="e">
        <f>IF(#REF!="","",LEFT(#REF!,FIND("-",#REF!)) &amp; IF(VALUE(MID(#REF!,FIND("-",#REF!)+1,4))&lt;1000,RIGHT("0000" &amp; MID(#REF!,FIND("-",#REF!)+1,4)+100,4),MID(#REF!,FIND("-",#REF!)+1,4)+1000))</f>
        <v>#REF!</v>
      </c>
    </row>
    <row r="75" spans="1:45" ht="12" customHeight="1">
      <c r="A75" s="160">
        <f t="shared" si="3"/>
        <v>73</v>
      </c>
      <c r="B75" s="136" t="s">
        <v>507</v>
      </c>
      <c r="C75" s="160" t="s">
        <v>31</v>
      </c>
      <c r="D75" s="283" t="s">
        <v>501</v>
      </c>
      <c r="E75" s="5" t="s">
        <v>117</v>
      </c>
      <c r="F75" s="122" t="s">
        <v>217</v>
      </c>
      <c r="G75" s="35" t="s">
        <v>119</v>
      </c>
      <c r="H75" s="2" t="s">
        <v>11</v>
      </c>
      <c r="I75" s="45" t="s">
        <v>76</v>
      </c>
      <c r="J75" s="1" t="s">
        <v>492</v>
      </c>
      <c r="K75" s="4" t="s">
        <v>95</v>
      </c>
      <c r="L75" s="4" t="s">
        <v>27</v>
      </c>
      <c r="M75" s="4" t="s">
        <v>33</v>
      </c>
      <c r="N75" s="4" t="s">
        <v>27</v>
      </c>
      <c r="O75" s="4"/>
      <c r="P75" s="32"/>
      <c r="Q75" s="3"/>
      <c r="R75" s="4"/>
      <c r="S75" s="32"/>
      <c r="T75" s="180"/>
      <c r="U75" s="174"/>
      <c r="V75" s="174"/>
      <c r="W75" s="190"/>
      <c r="X75" s="5"/>
      <c r="Y75" s="5" t="s">
        <v>473</v>
      </c>
      <c r="Z75" s="161" t="s">
        <v>624</v>
      </c>
      <c r="AA75" s="5"/>
      <c r="AB75" s="285"/>
      <c r="AC75" s="319"/>
      <c r="AD75" s="10"/>
      <c r="AE75" s="21" t="s">
        <v>218</v>
      </c>
      <c r="AH75" s="21">
        <v>1</v>
      </c>
      <c r="AI75" s="21" t="s">
        <v>219</v>
      </c>
      <c r="AJ75" s="21" t="s">
        <v>99</v>
      </c>
      <c r="AL75" s="21" t="s">
        <v>33</v>
      </c>
      <c r="AM75" s="21" t="s">
        <v>220</v>
      </c>
      <c r="AP7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6" spans="1:45" ht="12" customHeight="1">
      <c r="A76" s="160">
        <f t="shared" si="3"/>
        <v>74</v>
      </c>
      <c r="B76" s="137" t="s">
        <v>508</v>
      </c>
      <c r="C76" s="124" t="s">
        <v>31</v>
      </c>
      <c r="D76" s="283"/>
      <c r="E76" s="11" t="s">
        <v>117</v>
      </c>
      <c r="F76" s="142" t="s">
        <v>221</v>
      </c>
      <c r="G76" s="99" t="s">
        <v>119</v>
      </c>
      <c r="H76" s="30" t="s">
        <v>11</v>
      </c>
      <c r="I76" s="45" t="s">
        <v>76</v>
      </c>
      <c r="J76" s="8" t="s">
        <v>492</v>
      </c>
      <c r="K76" s="10" t="s">
        <v>95</v>
      </c>
      <c r="L76" s="10" t="s">
        <v>27</v>
      </c>
      <c r="M76" s="10" t="s">
        <v>33</v>
      </c>
      <c r="N76" s="10" t="s">
        <v>27</v>
      </c>
      <c r="O76" s="10"/>
      <c r="P76" s="33"/>
      <c r="Q76" s="6"/>
      <c r="R76" s="10"/>
      <c r="S76" s="33"/>
      <c r="T76" s="181"/>
      <c r="U76" s="175"/>
      <c r="V76" s="175"/>
      <c r="W76" s="191"/>
      <c r="X76" s="11"/>
      <c r="Y76" s="11" t="s">
        <v>474</v>
      </c>
      <c r="Z76" s="162" t="s">
        <v>625</v>
      </c>
      <c r="AA76" s="11"/>
      <c r="AB76" s="286"/>
      <c r="AC76" s="30"/>
      <c r="AD76" s="10"/>
      <c r="AE76" s="21" t="s">
        <v>218</v>
      </c>
      <c r="AH76" s="21">
        <v>1</v>
      </c>
      <c r="AI76" s="21" t="s">
        <v>219</v>
      </c>
      <c r="AJ76" s="21" t="s">
        <v>101</v>
      </c>
      <c r="AL76" s="21" t="s">
        <v>33</v>
      </c>
      <c r="AM76" s="21" t="s">
        <v>222</v>
      </c>
      <c r="AP7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7" spans="1:45" ht="12" customHeight="1">
      <c r="A77" s="160">
        <f t="shared" si="3"/>
        <v>75</v>
      </c>
      <c r="B77" s="144" t="s">
        <v>509</v>
      </c>
      <c r="C77" s="124" t="s">
        <v>31</v>
      </c>
      <c r="D77" s="283"/>
      <c r="E77" s="11" t="s">
        <v>117</v>
      </c>
      <c r="F77" s="142" t="s">
        <v>223</v>
      </c>
      <c r="G77" s="99" t="s">
        <v>198</v>
      </c>
      <c r="H77" s="30" t="s">
        <v>13</v>
      </c>
      <c r="I77" s="45" t="s">
        <v>76</v>
      </c>
      <c r="J77" s="8" t="s">
        <v>492</v>
      </c>
      <c r="K77" s="10" t="s">
        <v>95</v>
      </c>
      <c r="L77" s="10" t="s">
        <v>27</v>
      </c>
      <c r="M77" s="10" t="s">
        <v>33</v>
      </c>
      <c r="N77" s="10" t="s">
        <v>27</v>
      </c>
      <c r="O77" s="10"/>
      <c r="P77" s="33"/>
      <c r="Q77" s="6"/>
      <c r="R77" s="10"/>
      <c r="S77" s="33"/>
      <c r="T77" s="181"/>
      <c r="U77" s="175"/>
      <c r="V77" s="175"/>
      <c r="W77" s="191"/>
      <c r="X77" s="11" t="s">
        <v>462</v>
      </c>
      <c r="Y77" s="11" t="s">
        <v>457</v>
      </c>
      <c r="Z77" s="162" t="s">
        <v>626</v>
      </c>
      <c r="AA77" s="11"/>
      <c r="AB77" s="286"/>
      <c r="AC77" s="30" t="s">
        <v>743</v>
      </c>
      <c r="AD77" s="10" t="s">
        <v>751</v>
      </c>
      <c r="AE77" s="21" t="s">
        <v>218</v>
      </c>
      <c r="AH77" s="21">
        <v>1</v>
      </c>
      <c r="AI77" s="21" t="s">
        <v>219</v>
      </c>
      <c r="AJ77" s="21" t="s">
        <v>103</v>
      </c>
      <c r="AL77" s="21" t="s">
        <v>33</v>
      </c>
      <c r="AM77" s="21" t="s">
        <v>224</v>
      </c>
      <c r="AP7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8" spans="1:45" ht="12" customHeight="1">
      <c r="A78" s="160">
        <f t="shared" si="3"/>
        <v>76</v>
      </c>
      <c r="B78" s="134"/>
      <c r="C78" s="124" t="s">
        <v>31</v>
      </c>
      <c r="D78" s="283"/>
      <c r="E78" s="11" t="s">
        <v>117</v>
      </c>
      <c r="F78" s="99" t="s">
        <v>83</v>
      </c>
      <c r="G78" s="99"/>
      <c r="H78" s="30"/>
      <c r="I78" s="31"/>
      <c r="J78" s="8"/>
      <c r="K78" s="10" t="s">
        <v>95</v>
      </c>
      <c r="L78" s="10" t="s">
        <v>27</v>
      </c>
      <c r="M78" s="10" t="s">
        <v>33</v>
      </c>
      <c r="N78" s="10" t="s">
        <v>27</v>
      </c>
      <c r="O78" s="10"/>
      <c r="P78" s="33"/>
      <c r="Q78" s="6"/>
      <c r="R78" s="10"/>
      <c r="S78" s="33"/>
      <c r="T78" s="181"/>
      <c r="U78" s="175"/>
      <c r="V78" s="175"/>
      <c r="W78" s="191"/>
      <c r="X78" s="46"/>
      <c r="Y78" s="124"/>
      <c r="Z78" s="166" t="s">
        <v>627</v>
      </c>
      <c r="AA78" s="11"/>
      <c r="AB78" s="286"/>
      <c r="AC78" s="30"/>
      <c r="AD78" s="10"/>
      <c r="AE78" s="21" t="s">
        <v>218</v>
      </c>
      <c r="AH78" s="21">
        <v>1</v>
      </c>
      <c r="AI78" s="21" t="s">
        <v>219</v>
      </c>
      <c r="AJ78" s="21" t="s">
        <v>105</v>
      </c>
      <c r="AL78" s="21" t="s">
        <v>33</v>
      </c>
      <c r="AM78" s="21" t="s">
        <v>225</v>
      </c>
      <c r="AP7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79" spans="1:45" ht="12" customHeight="1">
      <c r="A79" s="160">
        <f t="shared" si="3"/>
        <v>77</v>
      </c>
      <c r="B79" s="134"/>
      <c r="C79" s="124" t="s">
        <v>31</v>
      </c>
      <c r="D79" s="283"/>
      <c r="E79" s="11" t="s">
        <v>117</v>
      </c>
      <c r="F79" s="99" t="s">
        <v>83</v>
      </c>
      <c r="G79" s="99"/>
      <c r="H79" s="30"/>
      <c r="I79" s="31"/>
      <c r="J79" s="8"/>
      <c r="K79" s="10" t="s">
        <v>95</v>
      </c>
      <c r="L79" s="10" t="s">
        <v>27</v>
      </c>
      <c r="M79" s="10" t="s">
        <v>33</v>
      </c>
      <c r="N79" s="10" t="s">
        <v>27</v>
      </c>
      <c r="O79" s="10"/>
      <c r="P79" s="33"/>
      <c r="Q79" s="6"/>
      <c r="R79" s="10"/>
      <c r="S79" s="33"/>
      <c r="T79" s="181"/>
      <c r="U79" s="175"/>
      <c r="V79" s="175"/>
      <c r="W79" s="191"/>
      <c r="X79" s="46"/>
      <c r="Y79" s="124"/>
      <c r="Z79" s="166" t="s">
        <v>628</v>
      </c>
      <c r="AA79" s="11"/>
      <c r="AB79" s="286"/>
      <c r="AC79" s="30"/>
      <c r="AD79" s="10"/>
      <c r="AH79" s="21">
        <v>1</v>
      </c>
      <c r="AI79" s="21" t="s">
        <v>219</v>
      </c>
      <c r="AJ79" s="21" t="s">
        <v>107</v>
      </c>
      <c r="AL79" s="21" t="s">
        <v>33</v>
      </c>
      <c r="AM79" s="21" t="s">
        <v>226</v>
      </c>
      <c r="AP7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0" spans="1:45" ht="12" customHeight="1">
      <c r="A80" s="160">
        <f t="shared" si="3"/>
        <v>78</v>
      </c>
      <c r="B80" s="134"/>
      <c r="C80" s="124" t="s">
        <v>31</v>
      </c>
      <c r="D80" s="283"/>
      <c r="E80" s="11" t="s">
        <v>117</v>
      </c>
      <c r="F80" s="99" t="s">
        <v>83</v>
      </c>
      <c r="G80" s="99"/>
      <c r="H80" s="30"/>
      <c r="I80" s="31"/>
      <c r="J80" s="8"/>
      <c r="K80" s="10" t="s">
        <v>95</v>
      </c>
      <c r="L80" s="10" t="s">
        <v>27</v>
      </c>
      <c r="M80" s="10" t="s">
        <v>33</v>
      </c>
      <c r="N80" s="10" t="s">
        <v>27</v>
      </c>
      <c r="O80" s="10"/>
      <c r="P80" s="33"/>
      <c r="Q80" s="6"/>
      <c r="R80" s="10"/>
      <c r="S80" s="33"/>
      <c r="T80" s="181"/>
      <c r="U80" s="175"/>
      <c r="V80" s="175"/>
      <c r="W80" s="191"/>
      <c r="X80" s="11"/>
      <c r="Y80" s="11"/>
      <c r="Z80" s="162" t="s">
        <v>629</v>
      </c>
      <c r="AA80" s="11"/>
      <c r="AB80" s="286"/>
      <c r="AC80" s="30"/>
      <c r="AD80" s="10"/>
      <c r="AH80" s="21">
        <v>1</v>
      </c>
      <c r="AI80" s="21" t="s">
        <v>219</v>
      </c>
      <c r="AJ80" s="21" t="s">
        <v>109</v>
      </c>
      <c r="AL80" s="21" t="s">
        <v>33</v>
      </c>
      <c r="AM80" s="21" t="s">
        <v>227</v>
      </c>
      <c r="AP8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1" spans="1:42" ht="12" customHeight="1">
      <c r="A81" s="160">
        <f t="shared" si="3"/>
        <v>79</v>
      </c>
      <c r="B81" s="134"/>
      <c r="C81" s="124" t="s">
        <v>31</v>
      </c>
      <c r="D81" s="283"/>
      <c r="E81" s="11" t="s">
        <v>117</v>
      </c>
      <c r="F81" s="99" t="s">
        <v>83</v>
      </c>
      <c r="G81" s="99"/>
      <c r="H81" s="30"/>
      <c r="I81" s="31"/>
      <c r="J81" s="8"/>
      <c r="K81" s="10" t="s">
        <v>95</v>
      </c>
      <c r="L81" s="10" t="s">
        <v>27</v>
      </c>
      <c r="M81" s="10" t="s">
        <v>33</v>
      </c>
      <c r="N81" s="10" t="s">
        <v>27</v>
      </c>
      <c r="O81" s="10"/>
      <c r="P81" s="33"/>
      <c r="Q81" s="6"/>
      <c r="R81" s="10"/>
      <c r="S81" s="33"/>
      <c r="T81" s="181"/>
      <c r="U81" s="175"/>
      <c r="V81" s="175"/>
      <c r="W81" s="191"/>
      <c r="X81" s="11"/>
      <c r="Y81" s="11"/>
      <c r="Z81" s="162" t="s">
        <v>630</v>
      </c>
      <c r="AA81" s="11"/>
      <c r="AB81" s="286"/>
      <c r="AC81" s="30"/>
      <c r="AD81" s="10"/>
      <c r="AH81" s="21">
        <v>1</v>
      </c>
      <c r="AI81" s="21" t="s">
        <v>219</v>
      </c>
      <c r="AJ81" s="21" t="s">
        <v>77</v>
      </c>
      <c r="AL81" s="21" t="s">
        <v>33</v>
      </c>
      <c r="AM81" s="21" t="s">
        <v>228</v>
      </c>
      <c r="AP8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2" spans="1:42" s="38" customFormat="1" ht="12" customHeight="1">
      <c r="A82" s="160">
        <f t="shared" si="3"/>
        <v>80</v>
      </c>
      <c r="B82" s="134"/>
      <c r="C82" s="124" t="s">
        <v>31</v>
      </c>
      <c r="D82" s="283"/>
      <c r="E82" s="11" t="s">
        <v>117</v>
      </c>
      <c r="F82" s="99" t="s">
        <v>83</v>
      </c>
      <c r="G82" s="99"/>
      <c r="H82" s="30"/>
      <c r="I82" s="31"/>
      <c r="J82" s="8"/>
      <c r="K82" s="10" t="s">
        <v>95</v>
      </c>
      <c r="L82" s="10" t="s">
        <v>27</v>
      </c>
      <c r="M82" s="10" t="s">
        <v>33</v>
      </c>
      <c r="N82" s="10" t="s">
        <v>27</v>
      </c>
      <c r="O82" s="10"/>
      <c r="P82" s="33"/>
      <c r="Q82" s="6"/>
      <c r="R82" s="10"/>
      <c r="S82" s="33"/>
      <c r="T82" s="181"/>
      <c r="U82" s="175"/>
      <c r="V82" s="175"/>
      <c r="W82" s="191"/>
      <c r="X82" s="11"/>
      <c r="Y82" s="11"/>
      <c r="Z82" s="162" t="s">
        <v>631</v>
      </c>
      <c r="AA82" s="11"/>
      <c r="AB82" s="286"/>
      <c r="AC82" s="30"/>
      <c r="AD82" s="10"/>
      <c r="AH82" s="38">
        <v>1</v>
      </c>
      <c r="AI82" s="38" t="s">
        <v>219</v>
      </c>
      <c r="AJ82" s="38" t="s">
        <v>81</v>
      </c>
      <c r="AL82" s="38" t="s">
        <v>33</v>
      </c>
      <c r="AM82" s="38" t="s">
        <v>229</v>
      </c>
      <c r="AP82" s="38" t="e">
        <f>IF(#REF!="","",LEFT(#REF!,FIND("-",#REF!)) &amp; IF(VALUE(MID(#REF!,FIND("-",#REF!)+1,4))&lt;1000,RIGHT("0000" &amp; MID(#REF!,FIND("-",#REF!)+1,4)+100,4),MID(#REF!,FIND("-",#REF!)+1,4)+1000))</f>
        <v>#REF!</v>
      </c>
    </row>
    <row r="83" spans="1:42" ht="12" customHeight="1">
      <c r="A83" s="160">
        <f t="shared" si="3"/>
        <v>81</v>
      </c>
      <c r="B83" s="134" t="s">
        <v>527</v>
      </c>
      <c r="C83" s="160" t="s">
        <v>31</v>
      </c>
      <c r="D83" s="283"/>
      <c r="E83" s="5" t="s">
        <v>117</v>
      </c>
      <c r="F83" s="99" t="s">
        <v>539</v>
      </c>
      <c r="G83" s="99" t="s">
        <v>162</v>
      </c>
      <c r="H83" s="44" t="s">
        <v>492</v>
      </c>
      <c r="I83" s="45" t="s">
        <v>76</v>
      </c>
      <c r="J83" s="1" t="s">
        <v>492</v>
      </c>
      <c r="K83" s="4" t="s">
        <v>95</v>
      </c>
      <c r="L83" s="4" t="s">
        <v>27</v>
      </c>
      <c r="M83" s="4" t="s">
        <v>33</v>
      </c>
      <c r="N83" s="4" t="s">
        <v>27</v>
      </c>
      <c r="O83" s="4"/>
      <c r="P83" s="32"/>
      <c r="Q83" s="3"/>
      <c r="R83" s="4"/>
      <c r="S83" s="32"/>
      <c r="T83" s="180"/>
      <c r="U83" s="174"/>
      <c r="V83" s="174"/>
      <c r="W83" s="190"/>
      <c r="X83" s="5" t="s">
        <v>538</v>
      </c>
      <c r="Y83" s="5" t="s">
        <v>537</v>
      </c>
      <c r="Z83" s="161" t="s">
        <v>632</v>
      </c>
      <c r="AA83" s="5"/>
      <c r="AB83" s="286"/>
      <c r="AC83" s="30"/>
      <c r="AD83" s="10"/>
      <c r="AH83" s="21">
        <v>1</v>
      </c>
      <c r="AI83" s="21" t="s">
        <v>219</v>
      </c>
      <c r="AJ83" s="21" t="s">
        <v>93</v>
      </c>
      <c r="AL83" s="21" t="s">
        <v>33</v>
      </c>
      <c r="AM83" s="21" t="s">
        <v>230</v>
      </c>
      <c r="AP8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4" spans="1:42" ht="12" customHeight="1">
      <c r="A84" s="160">
        <f t="shared" si="3"/>
        <v>82</v>
      </c>
      <c r="B84" s="134" t="s">
        <v>528</v>
      </c>
      <c r="C84" s="124" t="s">
        <v>31</v>
      </c>
      <c r="D84" s="283"/>
      <c r="E84" s="11" t="s">
        <v>117</v>
      </c>
      <c r="F84" s="99" t="s">
        <v>532</v>
      </c>
      <c r="G84" s="99" t="s">
        <v>536</v>
      </c>
      <c r="H84" s="30" t="s">
        <v>492</v>
      </c>
      <c r="I84" s="31" t="s">
        <v>76</v>
      </c>
      <c r="J84" s="8" t="s">
        <v>492</v>
      </c>
      <c r="K84" s="10" t="s">
        <v>95</v>
      </c>
      <c r="L84" s="10" t="s">
        <v>27</v>
      </c>
      <c r="M84" s="10" t="s">
        <v>33</v>
      </c>
      <c r="N84" s="10" t="s">
        <v>27</v>
      </c>
      <c r="O84" s="10"/>
      <c r="P84" s="33"/>
      <c r="Q84" s="6"/>
      <c r="R84" s="10"/>
      <c r="S84" s="33"/>
      <c r="T84" s="181"/>
      <c r="U84" s="175"/>
      <c r="V84" s="175"/>
      <c r="W84" s="191"/>
      <c r="X84" s="154"/>
      <c r="Y84" s="155">
        <v>0.25</v>
      </c>
      <c r="Z84" s="166" t="s">
        <v>633</v>
      </c>
      <c r="AA84" s="11"/>
      <c r="AB84" s="286"/>
      <c r="AC84" s="30"/>
      <c r="AD84" s="10"/>
      <c r="AH84" s="21">
        <v>1</v>
      </c>
      <c r="AI84" s="21" t="s">
        <v>219</v>
      </c>
      <c r="AJ84" s="21" t="s">
        <v>96</v>
      </c>
      <c r="AL84" s="21" t="s">
        <v>33</v>
      </c>
      <c r="AM84" s="21" t="s">
        <v>231</v>
      </c>
      <c r="AP84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5" spans="1:42" ht="12" customHeight="1">
      <c r="A85" s="160">
        <f t="shared" si="3"/>
        <v>83</v>
      </c>
      <c r="B85" s="134" t="s">
        <v>529</v>
      </c>
      <c r="C85" s="124" t="s">
        <v>31</v>
      </c>
      <c r="D85" s="283"/>
      <c r="E85" s="11" t="s">
        <v>117</v>
      </c>
      <c r="F85" s="99" t="s">
        <v>533</v>
      </c>
      <c r="G85" s="99"/>
      <c r="H85" s="30"/>
      <c r="I85" s="31"/>
      <c r="J85" s="8"/>
      <c r="K85" s="10" t="s">
        <v>95</v>
      </c>
      <c r="L85" s="10" t="s">
        <v>27</v>
      </c>
      <c r="M85" s="10" t="s">
        <v>33</v>
      </c>
      <c r="N85" s="10" t="s">
        <v>27</v>
      </c>
      <c r="O85" s="10"/>
      <c r="P85" s="33"/>
      <c r="Q85" s="6"/>
      <c r="R85" s="10"/>
      <c r="S85" s="33"/>
      <c r="T85" s="181"/>
      <c r="U85" s="175"/>
      <c r="V85" s="175"/>
      <c r="W85" s="191"/>
      <c r="X85" s="11"/>
      <c r="Y85" s="156">
        <v>0.5</v>
      </c>
      <c r="Z85" s="162" t="s">
        <v>634</v>
      </c>
      <c r="AA85" s="11"/>
      <c r="AB85" s="286"/>
      <c r="AC85" s="30"/>
      <c r="AD85" s="10"/>
      <c r="AH85" s="21">
        <v>1</v>
      </c>
      <c r="AI85" s="21" t="s">
        <v>219</v>
      </c>
      <c r="AJ85" s="21" t="s">
        <v>85</v>
      </c>
      <c r="AL85" s="21" t="s">
        <v>33</v>
      </c>
      <c r="AM85" s="21" t="s">
        <v>232</v>
      </c>
      <c r="AP8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6" spans="1:42" ht="12" customHeight="1">
      <c r="A86" s="160">
        <f t="shared" si="3"/>
        <v>84</v>
      </c>
      <c r="B86" s="134" t="s">
        <v>530</v>
      </c>
      <c r="C86" s="124" t="s">
        <v>31</v>
      </c>
      <c r="D86" s="283"/>
      <c r="E86" s="11" t="s">
        <v>117</v>
      </c>
      <c r="F86" s="99" t="s">
        <v>534</v>
      </c>
      <c r="G86" s="99"/>
      <c r="H86" s="30"/>
      <c r="I86" s="31"/>
      <c r="J86" s="8"/>
      <c r="K86" s="10"/>
      <c r="L86" s="10"/>
      <c r="M86" s="10"/>
      <c r="N86" s="10"/>
      <c r="O86" s="10"/>
      <c r="P86" s="33"/>
      <c r="Q86" s="6"/>
      <c r="R86" s="10"/>
      <c r="S86" s="33"/>
      <c r="T86" s="181"/>
      <c r="U86" s="175"/>
      <c r="V86" s="175"/>
      <c r="W86" s="191"/>
      <c r="X86" s="11"/>
      <c r="Y86" s="156">
        <v>0.75</v>
      </c>
      <c r="Z86" s="162" t="s">
        <v>635</v>
      </c>
      <c r="AA86" s="11"/>
      <c r="AB86" s="286"/>
      <c r="AC86" s="30"/>
      <c r="AD86" s="10"/>
      <c r="AH86" s="21">
        <v>1</v>
      </c>
      <c r="AI86" s="21" t="s">
        <v>219</v>
      </c>
      <c r="AJ86" s="21" t="s">
        <v>87</v>
      </c>
      <c r="AL86" s="21" t="s">
        <v>33</v>
      </c>
      <c r="AM86" s="21" t="s">
        <v>233</v>
      </c>
      <c r="AP8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7" spans="1:42" ht="12" customHeight="1">
      <c r="A87" s="160">
        <f t="shared" si="3"/>
        <v>85</v>
      </c>
      <c r="B87" s="134" t="s">
        <v>531</v>
      </c>
      <c r="C87" s="124" t="s">
        <v>31</v>
      </c>
      <c r="D87" s="283"/>
      <c r="E87" s="11" t="s">
        <v>117</v>
      </c>
      <c r="F87" s="99" t="s">
        <v>535</v>
      </c>
      <c r="G87" s="99"/>
      <c r="H87" s="30"/>
      <c r="I87" s="31"/>
      <c r="J87" s="8"/>
      <c r="K87" s="10" t="s">
        <v>95</v>
      </c>
      <c r="L87" s="10" t="s">
        <v>27</v>
      </c>
      <c r="M87" s="10" t="s">
        <v>33</v>
      </c>
      <c r="N87" s="10" t="s">
        <v>27</v>
      </c>
      <c r="O87" s="10"/>
      <c r="P87" s="33"/>
      <c r="Q87" s="6"/>
      <c r="R87" s="10"/>
      <c r="S87" s="33"/>
      <c r="T87" s="181"/>
      <c r="U87" s="175"/>
      <c r="V87" s="175"/>
      <c r="W87" s="191"/>
      <c r="X87" s="11"/>
      <c r="Y87" s="156">
        <v>1</v>
      </c>
      <c r="Z87" s="162" t="s">
        <v>636</v>
      </c>
      <c r="AA87" s="11"/>
      <c r="AB87" s="286"/>
      <c r="AC87" s="30"/>
      <c r="AD87" s="10"/>
      <c r="AH87" s="21">
        <v>1</v>
      </c>
      <c r="AI87" s="21" t="s">
        <v>219</v>
      </c>
      <c r="AJ87" s="21" t="s">
        <v>89</v>
      </c>
      <c r="AL87" s="21" t="s">
        <v>33</v>
      </c>
      <c r="AM87" s="21" t="s">
        <v>234</v>
      </c>
      <c r="AP8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8" spans="1:42" ht="12" customHeight="1">
      <c r="A88" s="160">
        <f t="shared" si="3"/>
        <v>86</v>
      </c>
      <c r="B88" s="134"/>
      <c r="C88" s="124" t="s">
        <v>31</v>
      </c>
      <c r="D88" s="283"/>
      <c r="E88" s="11" t="s">
        <v>117</v>
      </c>
      <c r="F88" s="99" t="s">
        <v>83</v>
      </c>
      <c r="G88" s="99"/>
      <c r="H88" s="30"/>
      <c r="I88" s="31"/>
      <c r="J88" s="8"/>
      <c r="K88" s="10" t="s">
        <v>95</v>
      </c>
      <c r="L88" s="10" t="s">
        <v>27</v>
      </c>
      <c r="M88" s="10" t="s">
        <v>33</v>
      </c>
      <c r="N88" s="10" t="s">
        <v>27</v>
      </c>
      <c r="O88" s="10"/>
      <c r="P88" s="33"/>
      <c r="Q88" s="6"/>
      <c r="R88" s="10"/>
      <c r="S88" s="33"/>
      <c r="T88" s="181"/>
      <c r="U88" s="175"/>
      <c r="V88" s="175"/>
      <c r="W88" s="191"/>
      <c r="X88" s="11"/>
      <c r="Y88" s="11"/>
      <c r="Z88" s="162" t="s">
        <v>637</v>
      </c>
      <c r="AA88" s="11"/>
      <c r="AB88" s="286"/>
      <c r="AC88" s="30"/>
      <c r="AD88" s="10"/>
      <c r="AH88" s="21">
        <v>1</v>
      </c>
      <c r="AI88" s="21" t="s">
        <v>219</v>
      </c>
      <c r="AJ88" s="21" t="s">
        <v>152</v>
      </c>
      <c r="AL88" s="21" t="s">
        <v>33</v>
      </c>
      <c r="AM88" s="21" t="s">
        <v>235</v>
      </c>
      <c r="AP8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89" spans="1:42" ht="12" customHeight="1">
      <c r="A89" s="160">
        <f t="shared" si="3"/>
        <v>87</v>
      </c>
      <c r="B89" s="134"/>
      <c r="C89" s="124" t="s">
        <v>31</v>
      </c>
      <c r="D89" s="283"/>
      <c r="E89" s="11" t="s">
        <v>117</v>
      </c>
      <c r="F89" s="99" t="s">
        <v>83</v>
      </c>
      <c r="G89" s="99"/>
      <c r="H89" s="30"/>
      <c r="I89" s="31"/>
      <c r="J89" s="8"/>
      <c r="K89" s="10"/>
      <c r="L89" s="10"/>
      <c r="M89" s="10"/>
      <c r="N89" s="10"/>
      <c r="O89" s="10"/>
      <c r="P89" s="33"/>
      <c r="Q89" s="6"/>
      <c r="R89" s="10"/>
      <c r="S89" s="33"/>
      <c r="T89" s="181"/>
      <c r="U89" s="175"/>
      <c r="V89" s="175"/>
      <c r="W89" s="191"/>
      <c r="X89" s="11"/>
      <c r="Y89" s="11"/>
      <c r="Z89" s="162" t="s">
        <v>638</v>
      </c>
      <c r="AA89" s="11"/>
      <c r="AB89" s="286"/>
      <c r="AC89" s="30"/>
      <c r="AD89" s="10"/>
      <c r="AH89" s="21">
        <v>1</v>
      </c>
      <c r="AI89" s="21" t="s">
        <v>219</v>
      </c>
      <c r="AJ89" s="21" t="s">
        <v>154</v>
      </c>
      <c r="AL89" s="21" t="s">
        <v>33</v>
      </c>
      <c r="AM89" s="21" t="s">
        <v>236</v>
      </c>
      <c r="AP8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0" spans="1:42" s="43" customFormat="1" ht="12" customHeight="1" thickBot="1">
      <c r="A90" s="160">
        <f t="shared" si="3"/>
        <v>88</v>
      </c>
      <c r="B90" s="143"/>
      <c r="C90" s="100" t="s">
        <v>31</v>
      </c>
      <c r="D90" s="284"/>
      <c r="E90" s="66" t="s">
        <v>117</v>
      </c>
      <c r="F90" s="145" t="s">
        <v>83</v>
      </c>
      <c r="G90" s="101"/>
      <c r="H90" s="60"/>
      <c r="I90" s="61"/>
      <c r="J90" s="62"/>
      <c r="K90" s="63"/>
      <c r="L90" s="63"/>
      <c r="M90" s="63"/>
      <c r="N90" s="63"/>
      <c r="O90" s="63"/>
      <c r="P90" s="65"/>
      <c r="Q90" s="64"/>
      <c r="R90" s="63"/>
      <c r="S90" s="65"/>
      <c r="T90" s="188"/>
      <c r="U90" s="178"/>
      <c r="V90" s="178"/>
      <c r="W90" s="194"/>
      <c r="X90" s="66"/>
      <c r="Y90" s="66"/>
      <c r="Z90" s="167" t="s">
        <v>639</v>
      </c>
      <c r="AA90" s="66"/>
      <c r="AB90" s="286"/>
      <c r="AC90" s="30"/>
      <c r="AD90" s="10"/>
      <c r="AH90" s="43">
        <v>1</v>
      </c>
      <c r="AI90" s="43" t="s">
        <v>219</v>
      </c>
      <c r="AJ90" s="43" t="s">
        <v>156</v>
      </c>
      <c r="AL90" s="43" t="s">
        <v>33</v>
      </c>
      <c r="AM90" s="43" t="s">
        <v>237</v>
      </c>
      <c r="AP90" s="43" t="e">
        <f>IF(#REF!="","",LEFT(#REF!,FIND("-",#REF!)) &amp; IF(VALUE(MID(#REF!,FIND("-",#REF!)+1,4))&lt;1000,RIGHT("0000" &amp; MID(#REF!,FIND("-",#REF!)+1,4)+100,4),MID(#REF!,FIND("-",#REF!)+1,4)+1000))</f>
        <v>#REF!</v>
      </c>
    </row>
    <row r="91" spans="1:42" ht="12" customHeight="1">
      <c r="A91" s="160">
        <f t="shared" si="3"/>
        <v>89</v>
      </c>
      <c r="B91" s="146" t="s">
        <v>369</v>
      </c>
      <c r="C91" s="160" t="s">
        <v>31</v>
      </c>
      <c r="D91" s="283" t="s">
        <v>219</v>
      </c>
      <c r="E91" s="5" t="s">
        <v>117</v>
      </c>
      <c r="F91" s="49" t="s">
        <v>238</v>
      </c>
      <c r="G91" s="35" t="s">
        <v>239</v>
      </c>
      <c r="H91" s="44" t="s">
        <v>492</v>
      </c>
      <c r="I91" s="45" t="s">
        <v>76</v>
      </c>
      <c r="J91" s="1" t="s">
        <v>492</v>
      </c>
      <c r="K91" s="4" t="s">
        <v>95</v>
      </c>
      <c r="L91" s="4" t="s">
        <v>27</v>
      </c>
      <c r="M91" s="4" t="s">
        <v>33</v>
      </c>
      <c r="N91" s="4" t="s">
        <v>27</v>
      </c>
      <c r="O91" s="4"/>
      <c r="P91" s="32"/>
      <c r="Q91" s="3"/>
      <c r="R91" s="4"/>
      <c r="S91" s="32"/>
      <c r="T91" s="180"/>
      <c r="U91" s="174"/>
      <c r="V91" s="174"/>
      <c r="W91" s="190"/>
      <c r="X91" s="5"/>
      <c r="Y91" s="5" t="s">
        <v>475</v>
      </c>
      <c r="Z91" s="161" t="s">
        <v>640</v>
      </c>
      <c r="AA91" s="5"/>
      <c r="AB91" s="286"/>
      <c r="AC91" s="30"/>
      <c r="AD91" s="10"/>
      <c r="AH91" s="21">
        <v>1</v>
      </c>
      <c r="AI91" s="21" t="s">
        <v>219</v>
      </c>
      <c r="AJ91" s="21" t="s">
        <v>158</v>
      </c>
      <c r="AL91" s="21" t="s">
        <v>33</v>
      </c>
      <c r="AM91" s="21" t="s">
        <v>240</v>
      </c>
      <c r="AP9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2" spans="1:42" ht="12" customHeight="1">
      <c r="A92" s="160">
        <f t="shared" si="3"/>
        <v>90</v>
      </c>
      <c r="B92" s="147" t="s">
        <v>370</v>
      </c>
      <c r="C92" s="124" t="s">
        <v>31</v>
      </c>
      <c r="D92" s="283"/>
      <c r="E92" s="11" t="s">
        <v>117</v>
      </c>
      <c r="F92" s="36" t="s">
        <v>510</v>
      </c>
      <c r="G92" s="99" t="s">
        <v>239</v>
      </c>
      <c r="H92" s="30" t="s">
        <v>492</v>
      </c>
      <c r="I92" s="31" t="s">
        <v>76</v>
      </c>
      <c r="J92" s="8" t="s">
        <v>492</v>
      </c>
      <c r="K92" s="10" t="s">
        <v>95</v>
      </c>
      <c r="L92" s="10" t="s">
        <v>27</v>
      </c>
      <c r="M92" s="10" t="s">
        <v>33</v>
      </c>
      <c r="N92" s="10" t="s">
        <v>27</v>
      </c>
      <c r="O92" s="10"/>
      <c r="P92" s="33"/>
      <c r="Q92" s="6"/>
      <c r="R92" s="10"/>
      <c r="S92" s="33"/>
      <c r="T92" s="181"/>
      <c r="U92" s="175"/>
      <c r="V92" s="175"/>
      <c r="W92" s="191"/>
      <c r="X92" s="11"/>
      <c r="Y92" s="11" t="s">
        <v>475</v>
      </c>
      <c r="Z92" s="162" t="s">
        <v>641</v>
      </c>
      <c r="AA92" s="11"/>
      <c r="AB92" s="286"/>
      <c r="AC92" s="30"/>
      <c r="AD92" s="10"/>
      <c r="AH92" s="21">
        <v>1</v>
      </c>
      <c r="AI92" s="21" t="s">
        <v>219</v>
      </c>
      <c r="AJ92" s="21" t="s">
        <v>160</v>
      </c>
      <c r="AL92" s="21" t="s">
        <v>33</v>
      </c>
      <c r="AM92" s="21" t="s">
        <v>241</v>
      </c>
      <c r="AP92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3" spans="1:42" ht="12" customHeight="1">
      <c r="A93" s="160">
        <f t="shared" si="3"/>
        <v>91</v>
      </c>
      <c r="B93" s="147" t="s">
        <v>371</v>
      </c>
      <c r="C93" s="124" t="s">
        <v>31</v>
      </c>
      <c r="D93" s="283"/>
      <c r="E93" s="11" t="s">
        <v>117</v>
      </c>
      <c r="F93" s="36" t="s">
        <v>545</v>
      </c>
      <c r="G93" s="99" t="s">
        <v>239</v>
      </c>
      <c r="H93" s="30" t="s">
        <v>492</v>
      </c>
      <c r="I93" s="31" t="s">
        <v>76</v>
      </c>
      <c r="J93" s="8" t="s">
        <v>492</v>
      </c>
      <c r="K93" s="10"/>
      <c r="L93" s="10"/>
      <c r="M93" s="10"/>
      <c r="N93" s="10"/>
      <c r="O93" s="10"/>
      <c r="P93" s="33"/>
      <c r="Q93" s="6"/>
      <c r="R93" s="10"/>
      <c r="S93" s="33"/>
      <c r="T93" s="181"/>
      <c r="U93" s="175"/>
      <c r="V93" s="175"/>
      <c r="W93" s="191"/>
      <c r="X93" s="11"/>
      <c r="Y93" s="11" t="s">
        <v>475</v>
      </c>
      <c r="Z93" s="162" t="s">
        <v>642</v>
      </c>
      <c r="AA93" s="11"/>
      <c r="AB93" s="286"/>
      <c r="AC93" s="30"/>
      <c r="AD93" s="10"/>
      <c r="AH93" s="21">
        <v>1</v>
      </c>
      <c r="AI93" s="21" t="s">
        <v>219</v>
      </c>
      <c r="AJ93" s="21" t="s">
        <v>163</v>
      </c>
      <c r="AL93" s="21" t="s">
        <v>33</v>
      </c>
      <c r="AM93" s="21" t="s">
        <v>242</v>
      </c>
      <c r="AP9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4" spans="1:42" ht="12" customHeight="1">
      <c r="A94" s="160">
        <f t="shared" si="3"/>
        <v>92</v>
      </c>
      <c r="B94" s="147" t="s">
        <v>372</v>
      </c>
      <c r="C94" s="124" t="s">
        <v>31</v>
      </c>
      <c r="D94" s="283"/>
      <c r="E94" s="11" t="s">
        <v>117</v>
      </c>
      <c r="F94" s="36" t="s">
        <v>546</v>
      </c>
      <c r="G94" s="99" t="s">
        <v>239</v>
      </c>
      <c r="H94" s="30" t="s">
        <v>492</v>
      </c>
      <c r="I94" s="31" t="s">
        <v>76</v>
      </c>
      <c r="J94" s="8" t="s">
        <v>492</v>
      </c>
      <c r="K94" s="10"/>
      <c r="L94" s="10"/>
      <c r="M94" s="10"/>
      <c r="N94" s="10"/>
      <c r="O94" s="10"/>
      <c r="P94" s="33"/>
      <c r="Q94" s="6"/>
      <c r="R94" s="10"/>
      <c r="S94" s="33"/>
      <c r="T94" s="181"/>
      <c r="U94" s="175"/>
      <c r="V94" s="175"/>
      <c r="W94" s="191"/>
      <c r="X94" s="11"/>
      <c r="Y94" s="11" t="s">
        <v>475</v>
      </c>
      <c r="Z94" s="162" t="s">
        <v>643</v>
      </c>
      <c r="AA94" s="11"/>
      <c r="AB94" s="286"/>
      <c r="AC94" s="30"/>
      <c r="AD94" s="10"/>
      <c r="AH94" s="21">
        <v>1</v>
      </c>
      <c r="AI94" s="21" t="s">
        <v>219</v>
      </c>
      <c r="AJ94" s="21" t="s">
        <v>166</v>
      </c>
      <c r="AL94" s="21" t="s">
        <v>33</v>
      </c>
      <c r="AM94" s="21" t="s">
        <v>243</v>
      </c>
      <c r="AP94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5" spans="1:42" ht="12" customHeight="1">
      <c r="A95" s="160">
        <f t="shared" si="3"/>
        <v>93</v>
      </c>
      <c r="B95" s="147" t="s">
        <v>373</v>
      </c>
      <c r="C95" s="124" t="s">
        <v>31</v>
      </c>
      <c r="D95" s="283"/>
      <c r="E95" s="11" t="s">
        <v>117</v>
      </c>
      <c r="F95" s="36" t="s">
        <v>244</v>
      </c>
      <c r="G95" s="99" t="s">
        <v>239</v>
      </c>
      <c r="H95" s="30" t="s">
        <v>492</v>
      </c>
      <c r="I95" s="31" t="s">
        <v>76</v>
      </c>
      <c r="J95" s="8" t="s">
        <v>492</v>
      </c>
      <c r="K95" s="10"/>
      <c r="L95" s="10"/>
      <c r="M95" s="10"/>
      <c r="N95" s="10"/>
      <c r="O95" s="10"/>
      <c r="P95" s="33"/>
      <c r="Q95" s="6"/>
      <c r="R95" s="10"/>
      <c r="S95" s="33"/>
      <c r="T95" s="181"/>
      <c r="U95" s="175"/>
      <c r="V95" s="175"/>
      <c r="W95" s="191"/>
      <c r="X95" s="11"/>
      <c r="Y95" s="11" t="s">
        <v>475</v>
      </c>
      <c r="Z95" s="162" t="s">
        <v>644</v>
      </c>
      <c r="AA95" s="11"/>
      <c r="AB95" s="287"/>
      <c r="AC95" s="30"/>
      <c r="AD95" s="10"/>
      <c r="AH95" s="21">
        <v>1</v>
      </c>
      <c r="AI95" s="21" t="s">
        <v>219</v>
      </c>
      <c r="AJ95" s="21" t="s">
        <v>169</v>
      </c>
      <c r="AL95" s="21" t="s">
        <v>33</v>
      </c>
      <c r="AM95" s="21" t="s">
        <v>245</v>
      </c>
      <c r="AP9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6" spans="1:42" ht="12" customHeight="1">
      <c r="A96" s="160">
        <f t="shared" si="3"/>
        <v>94</v>
      </c>
      <c r="B96" s="147" t="s">
        <v>374</v>
      </c>
      <c r="C96" s="124" t="s">
        <v>31</v>
      </c>
      <c r="D96" s="283"/>
      <c r="E96" s="11" t="s">
        <v>117</v>
      </c>
      <c r="F96" s="36" t="s">
        <v>246</v>
      </c>
      <c r="G96" s="99" t="s">
        <v>239</v>
      </c>
      <c r="H96" s="30" t="s">
        <v>492</v>
      </c>
      <c r="I96" s="31" t="s">
        <v>76</v>
      </c>
      <c r="J96" s="8" t="s">
        <v>492</v>
      </c>
      <c r="K96" s="10" t="s">
        <v>95</v>
      </c>
      <c r="L96" s="10" t="s">
        <v>27</v>
      </c>
      <c r="M96" s="10" t="s">
        <v>33</v>
      </c>
      <c r="N96" s="10" t="s">
        <v>27</v>
      </c>
      <c r="O96" s="10"/>
      <c r="P96" s="33"/>
      <c r="Q96" s="6"/>
      <c r="R96" s="10"/>
      <c r="S96" s="33"/>
      <c r="T96" s="181"/>
      <c r="U96" s="175"/>
      <c r="V96" s="175"/>
      <c r="W96" s="191"/>
      <c r="X96" s="11"/>
      <c r="Y96" s="11" t="s">
        <v>475</v>
      </c>
      <c r="Z96" s="162" t="s">
        <v>645</v>
      </c>
      <c r="AA96" s="11"/>
      <c r="AB96" s="288"/>
      <c r="AC96" s="30"/>
      <c r="AD96" s="10"/>
      <c r="AH96" s="21">
        <v>1</v>
      </c>
      <c r="AI96" s="21" t="s">
        <v>219</v>
      </c>
      <c r="AJ96" s="21" t="s">
        <v>171</v>
      </c>
      <c r="AL96" s="21" t="s">
        <v>33</v>
      </c>
      <c r="AM96" s="21" t="s">
        <v>247</v>
      </c>
      <c r="AP9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7" spans="1:42" ht="12" customHeight="1">
      <c r="A97" s="160">
        <f t="shared" si="3"/>
        <v>95</v>
      </c>
      <c r="B97" s="147" t="s">
        <v>375</v>
      </c>
      <c r="C97" s="124" t="s">
        <v>31</v>
      </c>
      <c r="D97" s="283"/>
      <c r="E97" s="11" t="s">
        <v>117</v>
      </c>
      <c r="F97" s="36" t="s">
        <v>248</v>
      </c>
      <c r="G97" s="99" t="s">
        <v>239</v>
      </c>
      <c r="H97" s="30" t="s">
        <v>492</v>
      </c>
      <c r="I97" s="31" t="s">
        <v>76</v>
      </c>
      <c r="J97" s="8" t="s">
        <v>492</v>
      </c>
      <c r="K97" s="10" t="s">
        <v>95</v>
      </c>
      <c r="L97" s="10" t="s">
        <v>27</v>
      </c>
      <c r="M97" s="10" t="s">
        <v>33</v>
      </c>
      <c r="N97" s="10" t="s">
        <v>27</v>
      </c>
      <c r="O97" s="10"/>
      <c r="P97" s="33"/>
      <c r="Q97" s="6"/>
      <c r="R97" s="10"/>
      <c r="S97" s="33"/>
      <c r="T97" s="181"/>
      <c r="U97" s="175"/>
      <c r="V97" s="175"/>
      <c r="W97" s="191"/>
      <c r="X97" s="11"/>
      <c r="Y97" s="11" t="s">
        <v>475</v>
      </c>
      <c r="Z97" s="162" t="s">
        <v>646</v>
      </c>
      <c r="AA97" s="11"/>
      <c r="AB97" s="286"/>
      <c r="AC97" s="30"/>
      <c r="AD97" s="10"/>
      <c r="AH97" s="21">
        <v>1</v>
      </c>
      <c r="AI97" s="21" t="s">
        <v>219</v>
      </c>
      <c r="AJ97" s="21" t="s">
        <v>160</v>
      </c>
      <c r="AL97" s="21" t="s">
        <v>33</v>
      </c>
      <c r="AM97" s="21" t="s">
        <v>241</v>
      </c>
      <c r="AP9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8" spans="1:42" ht="12" customHeight="1">
      <c r="A98" s="160">
        <f t="shared" si="3"/>
        <v>96</v>
      </c>
      <c r="B98" s="147" t="s">
        <v>376</v>
      </c>
      <c r="C98" s="124" t="s">
        <v>31</v>
      </c>
      <c r="D98" s="283"/>
      <c r="E98" s="11" t="s">
        <v>117</v>
      </c>
      <c r="F98" s="36" t="s">
        <v>249</v>
      </c>
      <c r="G98" s="99" t="s">
        <v>239</v>
      </c>
      <c r="H98" s="30" t="s">
        <v>492</v>
      </c>
      <c r="I98" s="31" t="s">
        <v>76</v>
      </c>
      <c r="J98" s="8" t="s">
        <v>492</v>
      </c>
      <c r="K98" s="10"/>
      <c r="L98" s="10"/>
      <c r="M98" s="10"/>
      <c r="N98" s="10"/>
      <c r="O98" s="10"/>
      <c r="P98" s="33"/>
      <c r="Q98" s="6"/>
      <c r="R98" s="10"/>
      <c r="S98" s="33"/>
      <c r="T98" s="181"/>
      <c r="U98" s="175"/>
      <c r="V98" s="175"/>
      <c r="W98" s="191"/>
      <c r="X98" s="11"/>
      <c r="Y98" s="11" t="s">
        <v>475</v>
      </c>
      <c r="Z98" s="162" t="s">
        <v>647</v>
      </c>
      <c r="AA98" s="11"/>
      <c r="AB98" s="286"/>
      <c r="AC98" s="30"/>
      <c r="AD98" s="10"/>
      <c r="AH98" s="21">
        <v>1</v>
      </c>
      <c r="AI98" s="21" t="s">
        <v>219</v>
      </c>
      <c r="AJ98" s="21" t="s">
        <v>163</v>
      </c>
      <c r="AL98" s="21" t="s">
        <v>33</v>
      </c>
      <c r="AM98" s="21" t="s">
        <v>242</v>
      </c>
      <c r="AP9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99" spans="1:42" ht="12" customHeight="1">
      <c r="A99" s="160">
        <f t="shared" si="3"/>
        <v>97</v>
      </c>
      <c r="B99" s="147" t="s">
        <v>377</v>
      </c>
      <c r="C99" s="124" t="s">
        <v>31</v>
      </c>
      <c r="D99" s="283"/>
      <c r="E99" s="11" t="s">
        <v>117</v>
      </c>
      <c r="F99" s="36" t="s">
        <v>250</v>
      </c>
      <c r="G99" s="99" t="s">
        <v>239</v>
      </c>
      <c r="H99" s="30" t="s">
        <v>492</v>
      </c>
      <c r="I99" s="31" t="s">
        <v>76</v>
      </c>
      <c r="J99" s="8" t="s">
        <v>492</v>
      </c>
      <c r="K99" s="10"/>
      <c r="L99" s="10"/>
      <c r="M99" s="10"/>
      <c r="N99" s="10"/>
      <c r="O99" s="10"/>
      <c r="P99" s="33"/>
      <c r="Q99" s="6"/>
      <c r="R99" s="10"/>
      <c r="S99" s="33"/>
      <c r="T99" s="181"/>
      <c r="U99" s="175"/>
      <c r="V99" s="175"/>
      <c r="W99" s="191"/>
      <c r="X99" s="11"/>
      <c r="Y99" s="11" t="s">
        <v>475</v>
      </c>
      <c r="Z99" s="162" t="s">
        <v>648</v>
      </c>
      <c r="AA99" s="11"/>
      <c r="AB99" s="286"/>
      <c r="AC99" s="30"/>
      <c r="AD99" s="10"/>
      <c r="AH99" s="21">
        <v>1</v>
      </c>
      <c r="AI99" s="21" t="s">
        <v>219</v>
      </c>
      <c r="AJ99" s="21" t="s">
        <v>166</v>
      </c>
      <c r="AL99" s="21" t="s">
        <v>33</v>
      </c>
      <c r="AM99" s="21" t="s">
        <v>243</v>
      </c>
      <c r="AP9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00" spans="1:42" ht="12" customHeight="1">
      <c r="A100" s="160">
        <f t="shared" si="3"/>
        <v>98</v>
      </c>
      <c r="B100" s="147" t="s">
        <v>378</v>
      </c>
      <c r="C100" s="124" t="s">
        <v>31</v>
      </c>
      <c r="D100" s="283"/>
      <c r="E100" s="11" t="s">
        <v>117</v>
      </c>
      <c r="F100" s="36" t="s">
        <v>251</v>
      </c>
      <c r="G100" s="99" t="s">
        <v>239</v>
      </c>
      <c r="H100" s="30" t="s">
        <v>492</v>
      </c>
      <c r="I100" s="31" t="s">
        <v>76</v>
      </c>
      <c r="J100" s="8" t="s">
        <v>492</v>
      </c>
      <c r="K100" s="10"/>
      <c r="L100" s="10"/>
      <c r="M100" s="10"/>
      <c r="N100" s="10"/>
      <c r="O100" s="10"/>
      <c r="P100" s="33"/>
      <c r="Q100" s="6"/>
      <c r="R100" s="10"/>
      <c r="S100" s="33"/>
      <c r="T100" s="181"/>
      <c r="U100" s="175"/>
      <c r="V100" s="175"/>
      <c r="W100" s="191"/>
      <c r="X100" s="11"/>
      <c r="Y100" s="11" t="s">
        <v>475</v>
      </c>
      <c r="Z100" s="162" t="s">
        <v>649</v>
      </c>
      <c r="AA100" s="11"/>
      <c r="AB100" s="287"/>
      <c r="AC100" s="30"/>
      <c r="AD100" s="10"/>
      <c r="AH100" s="21">
        <v>1</v>
      </c>
      <c r="AI100" s="21" t="s">
        <v>219</v>
      </c>
      <c r="AJ100" s="21" t="s">
        <v>169</v>
      </c>
      <c r="AL100" s="21" t="s">
        <v>33</v>
      </c>
      <c r="AM100" s="21" t="s">
        <v>245</v>
      </c>
      <c r="AP10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01" spans="1:42" ht="12" customHeight="1">
      <c r="A101" s="160">
        <f t="shared" si="3"/>
        <v>99</v>
      </c>
      <c r="B101" s="147" t="s">
        <v>252</v>
      </c>
      <c r="C101" s="124" t="s">
        <v>31</v>
      </c>
      <c r="D101" s="283"/>
      <c r="E101" s="11" t="s">
        <v>117</v>
      </c>
      <c r="F101" s="36" t="s">
        <v>253</v>
      </c>
      <c r="G101" s="99" t="s">
        <v>239</v>
      </c>
      <c r="H101" s="30" t="s">
        <v>492</v>
      </c>
      <c r="I101" s="31" t="s">
        <v>76</v>
      </c>
      <c r="J101" s="8" t="s">
        <v>492</v>
      </c>
      <c r="K101" s="10" t="s">
        <v>95</v>
      </c>
      <c r="L101" s="10" t="s">
        <v>27</v>
      </c>
      <c r="M101" s="10" t="s">
        <v>33</v>
      </c>
      <c r="N101" s="10" t="s">
        <v>27</v>
      </c>
      <c r="O101" s="10"/>
      <c r="P101" s="33"/>
      <c r="Q101" s="6"/>
      <c r="R101" s="10"/>
      <c r="S101" s="33"/>
      <c r="T101" s="181"/>
      <c r="U101" s="175"/>
      <c r="V101" s="175"/>
      <c r="W101" s="191"/>
      <c r="X101" s="11"/>
      <c r="Y101" s="11" t="s">
        <v>475</v>
      </c>
      <c r="Z101" s="162" t="s">
        <v>650</v>
      </c>
      <c r="AA101" s="11"/>
      <c r="AB101" s="288"/>
      <c r="AC101" s="30"/>
      <c r="AD101" s="10"/>
      <c r="AH101" s="21">
        <v>1</v>
      </c>
      <c r="AI101" s="21" t="s">
        <v>219</v>
      </c>
      <c r="AJ101" s="21" t="s">
        <v>179</v>
      </c>
      <c r="AL101" s="21" t="s">
        <v>33</v>
      </c>
      <c r="AM101" s="21" t="s">
        <v>254</v>
      </c>
      <c r="AP101" s="21" t="e">
        <v>#REF!</v>
      </c>
    </row>
    <row r="102" spans="1:42" ht="12" customHeight="1">
      <c r="A102" s="160">
        <f t="shared" si="3"/>
        <v>100</v>
      </c>
      <c r="B102" s="135" t="s">
        <v>379</v>
      </c>
      <c r="C102" s="160" t="s">
        <v>31</v>
      </c>
      <c r="D102" s="283"/>
      <c r="E102" s="5" t="s">
        <v>117</v>
      </c>
      <c r="F102" s="49" t="s">
        <v>255</v>
      </c>
      <c r="G102" s="99" t="s">
        <v>239</v>
      </c>
      <c r="H102" s="30" t="s">
        <v>492</v>
      </c>
      <c r="I102" s="31" t="s">
        <v>76</v>
      </c>
      <c r="J102" s="8" t="s">
        <v>492</v>
      </c>
      <c r="K102" s="4" t="s">
        <v>95</v>
      </c>
      <c r="L102" s="4" t="s">
        <v>27</v>
      </c>
      <c r="M102" s="4" t="s">
        <v>33</v>
      </c>
      <c r="N102" s="4" t="s">
        <v>27</v>
      </c>
      <c r="O102" s="4"/>
      <c r="P102" s="32"/>
      <c r="Q102" s="3"/>
      <c r="R102" s="4"/>
      <c r="S102" s="32"/>
      <c r="T102" s="180"/>
      <c r="U102" s="174"/>
      <c r="V102" s="174"/>
      <c r="W102" s="190"/>
      <c r="X102" s="5"/>
      <c r="Y102" s="5" t="s">
        <v>475</v>
      </c>
      <c r="Z102" s="161" t="s">
        <v>651</v>
      </c>
      <c r="AA102" s="5"/>
      <c r="AB102" s="286"/>
      <c r="AC102" s="30"/>
      <c r="AD102" s="10"/>
      <c r="AH102" s="21">
        <v>1</v>
      </c>
      <c r="AI102" s="21" t="s">
        <v>219</v>
      </c>
      <c r="AJ102" s="21" t="s">
        <v>179</v>
      </c>
      <c r="AL102" s="21" t="s">
        <v>33</v>
      </c>
      <c r="AM102" s="21" t="s">
        <v>254</v>
      </c>
      <c r="AP102" s="21" t="e">
        <v>#REF!</v>
      </c>
    </row>
    <row r="103" spans="1:42" ht="12" customHeight="1">
      <c r="A103" s="160">
        <f t="shared" si="3"/>
        <v>101</v>
      </c>
      <c r="B103" s="134" t="s">
        <v>380</v>
      </c>
      <c r="C103" s="124" t="s">
        <v>31</v>
      </c>
      <c r="D103" s="283"/>
      <c r="E103" s="11" t="s">
        <v>117</v>
      </c>
      <c r="F103" s="36" t="s">
        <v>256</v>
      </c>
      <c r="G103" s="99" t="s">
        <v>257</v>
      </c>
      <c r="H103" s="30" t="s">
        <v>492</v>
      </c>
      <c r="I103" s="31" t="s">
        <v>76</v>
      </c>
      <c r="J103" s="8" t="s">
        <v>492</v>
      </c>
      <c r="K103" s="10"/>
      <c r="L103" s="10"/>
      <c r="M103" s="10"/>
      <c r="N103" s="10"/>
      <c r="O103" s="10"/>
      <c r="P103" s="33"/>
      <c r="Q103" s="6"/>
      <c r="R103" s="10"/>
      <c r="S103" s="33"/>
      <c r="T103" s="181"/>
      <c r="U103" s="175"/>
      <c r="V103" s="175"/>
      <c r="W103" s="191"/>
      <c r="X103" s="11"/>
      <c r="Y103" s="11" t="s">
        <v>475</v>
      </c>
      <c r="Z103" s="162" t="s">
        <v>652</v>
      </c>
      <c r="AA103" s="11"/>
      <c r="AB103" s="286"/>
      <c r="AC103" s="30"/>
      <c r="AD103" s="10"/>
      <c r="AH103" s="21">
        <v>1</v>
      </c>
      <c r="AI103" s="21" t="s">
        <v>219</v>
      </c>
      <c r="AJ103" s="21" t="s">
        <v>182</v>
      </c>
      <c r="AL103" s="21" t="s">
        <v>33</v>
      </c>
      <c r="AM103" s="21" t="s">
        <v>258</v>
      </c>
      <c r="AP103" s="21" t="e">
        <v>#REF!</v>
      </c>
    </row>
    <row r="104" spans="1:42" ht="12" customHeight="1">
      <c r="A104" s="160">
        <f t="shared" si="3"/>
        <v>102</v>
      </c>
      <c r="B104" s="135" t="s">
        <v>381</v>
      </c>
      <c r="C104" s="160" t="s">
        <v>31</v>
      </c>
      <c r="D104" s="283"/>
      <c r="E104" s="5" t="s">
        <v>117</v>
      </c>
      <c r="F104" s="49" t="s">
        <v>259</v>
      </c>
      <c r="G104" s="99" t="s">
        <v>257</v>
      </c>
      <c r="H104" s="30" t="s">
        <v>492</v>
      </c>
      <c r="I104" s="31" t="s">
        <v>76</v>
      </c>
      <c r="J104" s="8" t="s">
        <v>492</v>
      </c>
      <c r="K104" s="4"/>
      <c r="L104" s="4"/>
      <c r="M104" s="4"/>
      <c r="N104" s="4"/>
      <c r="O104" s="4"/>
      <c r="P104" s="32"/>
      <c r="Q104" s="3"/>
      <c r="R104" s="4"/>
      <c r="S104" s="32"/>
      <c r="T104" s="180"/>
      <c r="U104" s="174"/>
      <c r="V104" s="174"/>
      <c r="W104" s="190"/>
      <c r="X104" s="5"/>
      <c r="Y104" s="5" t="s">
        <v>475</v>
      </c>
      <c r="Z104" s="161" t="s">
        <v>653</v>
      </c>
      <c r="AA104" s="5"/>
      <c r="AB104" s="286"/>
      <c r="AC104" s="30"/>
      <c r="AD104" s="10"/>
      <c r="AH104" s="21">
        <v>1</v>
      </c>
      <c r="AI104" s="21" t="s">
        <v>219</v>
      </c>
      <c r="AJ104" s="21" t="s">
        <v>179</v>
      </c>
      <c r="AL104" s="21" t="s">
        <v>33</v>
      </c>
      <c r="AM104" s="21" t="s">
        <v>254</v>
      </c>
      <c r="AP104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05" spans="1:42" ht="12" customHeight="1">
      <c r="A105" s="160">
        <f t="shared" si="3"/>
        <v>103</v>
      </c>
      <c r="B105" s="134" t="s">
        <v>382</v>
      </c>
      <c r="C105" s="124" t="s">
        <v>31</v>
      </c>
      <c r="D105" s="283"/>
      <c r="E105" s="11" t="s">
        <v>117</v>
      </c>
      <c r="F105" s="36" t="s">
        <v>260</v>
      </c>
      <c r="G105" s="99" t="s">
        <v>257</v>
      </c>
      <c r="H105" s="30" t="s">
        <v>492</v>
      </c>
      <c r="I105" s="31" t="s">
        <v>76</v>
      </c>
      <c r="J105" s="8" t="s">
        <v>492</v>
      </c>
      <c r="K105" s="10"/>
      <c r="L105" s="10"/>
      <c r="M105" s="10"/>
      <c r="N105" s="10"/>
      <c r="O105" s="10"/>
      <c r="P105" s="33"/>
      <c r="Q105" s="6"/>
      <c r="R105" s="10"/>
      <c r="S105" s="33"/>
      <c r="T105" s="181"/>
      <c r="U105" s="175"/>
      <c r="V105" s="175"/>
      <c r="W105" s="191"/>
      <c r="X105" s="11"/>
      <c r="Y105" s="11" t="s">
        <v>475</v>
      </c>
      <c r="Z105" s="162" t="s">
        <v>654</v>
      </c>
      <c r="AA105" s="11"/>
      <c r="AB105" s="287"/>
      <c r="AC105" s="30"/>
      <c r="AD105" s="10"/>
      <c r="AH105" s="21">
        <v>1</v>
      </c>
      <c r="AI105" s="21" t="s">
        <v>219</v>
      </c>
      <c r="AJ105" s="21" t="s">
        <v>182</v>
      </c>
      <c r="AL105" s="21" t="s">
        <v>33</v>
      </c>
      <c r="AM105" s="21" t="s">
        <v>258</v>
      </c>
      <c r="AP10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06" spans="1:42" s="43" customFormat="1" ht="12" customHeight="1" thickBot="1">
      <c r="A106" s="160">
        <f t="shared" si="3"/>
        <v>104</v>
      </c>
      <c r="B106" s="148" t="s">
        <v>383</v>
      </c>
      <c r="C106" s="100" t="s">
        <v>31</v>
      </c>
      <c r="D106" s="284"/>
      <c r="E106" s="66" t="s">
        <v>117</v>
      </c>
      <c r="F106" s="138" t="s">
        <v>525</v>
      </c>
      <c r="G106" s="101" t="s">
        <v>257</v>
      </c>
      <c r="H106" s="60" t="s">
        <v>492</v>
      </c>
      <c r="I106" s="61" t="s">
        <v>76</v>
      </c>
      <c r="J106" s="62" t="s">
        <v>492</v>
      </c>
      <c r="K106" s="63" t="s">
        <v>95</v>
      </c>
      <c r="L106" s="63" t="s">
        <v>27</v>
      </c>
      <c r="M106" s="63" t="s">
        <v>33</v>
      </c>
      <c r="N106" s="63" t="s">
        <v>27</v>
      </c>
      <c r="O106" s="63"/>
      <c r="P106" s="65"/>
      <c r="Q106" s="64"/>
      <c r="R106" s="63"/>
      <c r="S106" s="65"/>
      <c r="T106" s="188"/>
      <c r="U106" s="178"/>
      <c r="V106" s="178"/>
      <c r="W106" s="194"/>
      <c r="X106" s="66"/>
      <c r="Y106" s="66" t="s">
        <v>475</v>
      </c>
      <c r="Z106" s="167" t="s">
        <v>655</v>
      </c>
      <c r="AA106" s="66"/>
      <c r="AB106" s="98"/>
      <c r="AC106" s="30"/>
      <c r="AD106" s="10"/>
      <c r="AH106" s="43">
        <v>1</v>
      </c>
      <c r="AI106" s="43" t="s">
        <v>219</v>
      </c>
      <c r="AJ106" s="43" t="s">
        <v>185</v>
      </c>
      <c r="AL106" s="43" t="s">
        <v>33</v>
      </c>
      <c r="AM106" s="43" t="s">
        <v>261</v>
      </c>
      <c r="AP106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07" spans="1:42" ht="12" customHeight="1">
      <c r="A107" s="160">
        <f t="shared" si="3"/>
        <v>105</v>
      </c>
      <c r="B107" s="135" t="s">
        <v>384</v>
      </c>
      <c r="C107" s="160" t="s">
        <v>31</v>
      </c>
      <c r="D107" s="283" t="s">
        <v>280</v>
      </c>
      <c r="E107" s="5" t="s">
        <v>117</v>
      </c>
      <c r="F107" s="49" t="s">
        <v>526</v>
      </c>
      <c r="G107" s="35" t="s">
        <v>257</v>
      </c>
      <c r="H107" s="44" t="s">
        <v>492</v>
      </c>
      <c r="I107" s="45" t="s">
        <v>76</v>
      </c>
      <c r="J107" s="1" t="s">
        <v>492</v>
      </c>
      <c r="K107" s="4" t="s">
        <v>95</v>
      </c>
      <c r="L107" s="4" t="s">
        <v>27</v>
      </c>
      <c r="M107" s="4" t="s">
        <v>33</v>
      </c>
      <c r="N107" s="4" t="s">
        <v>27</v>
      </c>
      <c r="O107" s="4"/>
      <c r="P107" s="32"/>
      <c r="Q107" s="3"/>
      <c r="R107" s="4"/>
      <c r="S107" s="32"/>
      <c r="T107" s="180"/>
      <c r="U107" s="174"/>
      <c r="V107" s="174"/>
      <c r="W107" s="190"/>
      <c r="X107" s="5"/>
      <c r="Y107" s="5" t="s">
        <v>475</v>
      </c>
      <c r="Z107" s="161" t="s">
        <v>656</v>
      </c>
      <c r="AA107" s="5"/>
      <c r="AB107" s="285"/>
      <c r="AC107" s="30"/>
      <c r="AD107" s="10"/>
      <c r="AH107" s="21">
        <v>1</v>
      </c>
      <c r="AI107" s="21" t="s">
        <v>219</v>
      </c>
      <c r="AJ107" s="21" t="s">
        <v>160</v>
      </c>
      <c r="AL107" s="21" t="s">
        <v>33</v>
      </c>
      <c r="AM107" s="21" t="s">
        <v>241</v>
      </c>
      <c r="AP107" s="21" t="e">
        <v>#REF!</v>
      </c>
    </row>
    <row r="108" spans="1:42" ht="12" customHeight="1">
      <c r="A108" s="160">
        <f t="shared" si="3"/>
        <v>106</v>
      </c>
      <c r="B108" s="134" t="s">
        <v>385</v>
      </c>
      <c r="C108" s="124" t="s">
        <v>31</v>
      </c>
      <c r="D108" s="283"/>
      <c r="E108" s="11" t="s">
        <v>117</v>
      </c>
      <c r="F108" s="36" t="s">
        <v>262</v>
      </c>
      <c r="G108" s="99" t="s">
        <v>257</v>
      </c>
      <c r="H108" s="30" t="s">
        <v>492</v>
      </c>
      <c r="I108" s="31" t="s">
        <v>76</v>
      </c>
      <c r="J108" s="8" t="s">
        <v>492</v>
      </c>
      <c r="K108" s="10" t="s">
        <v>95</v>
      </c>
      <c r="L108" s="10" t="s">
        <v>27</v>
      </c>
      <c r="M108" s="10" t="s">
        <v>33</v>
      </c>
      <c r="N108" s="10" t="s">
        <v>27</v>
      </c>
      <c r="O108" s="10"/>
      <c r="P108" s="33"/>
      <c r="Q108" s="6"/>
      <c r="R108" s="10"/>
      <c r="S108" s="33"/>
      <c r="T108" s="181"/>
      <c r="U108" s="175"/>
      <c r="V108" s="175"/>
      <c r="W108" s="191"/>
      <c r="X108" s="11"/>
      <c r="Y108" s="11" t="s">
        <v>475</v>
      </c>
      <c r="Z108" s="162" t="s">
        <v>657</v>
      </c>
      <c r="AA108" s="11"/>
      <c r="AB108" s="286"/>
      <c r="AC108" s="30"/>
      <c r="AD108" s="10"/>
      <c r="AH108" s="21">
        <v>1</v>
      </c>
      <c r="AI108" s="21" t="s">
        <v>219</v>
      </c>
      <c r="AJ108" s="21" t="s">
        <v>163</v>
      </c>
      <c r="AL108" s="21" t="s">
        <v>33</v>
      </c>
      <c r="AM108" s="21" t="s">
        <v>242</v>
      </c>
      <c r="AP108" s="21" t="e">
        <v>#REF!</v>
      </c>
    </row>
    <row r="109" spans="1:42" ht="12" customHeight="1">
      <c r="A109" s="160">
        <f t="shared" si="3"/>
        <v>107</v>
      </c>
      <c r="B109" s="134" t="s">
        <v>386</v>
      </c>
      <c r="C109" s="124" t="s">
        <v>31</v>
      </c>
      <c r="D109" s="283"/>
      <c r="E109" s="11" t="s">
        <v>117</v>
      </c>
      <c r="F109" s="36" t="s">
        <v>263</v>
      </c>
      <c r="G109" s="99" t="s">
        <v>257</v>
      </c>
      <c r="H109" s="30" t="s">
        <v>492</v>
      </c>
      <c r="I109" s="31" t="s">
        <v>76</v>
      </c>
      <c r="J109" s="8" t="s">
        <v>492</v>
      </c>
      <c r="K109" s="10" t="s">
        <v>95</v>
      </c>
      <c r="L109" s="10" t="s">
        <v>27</v>
      </c>
      <c r="M109" s="10" t="s">
        <v>33</v>
      </c>
      <c r="N109" s="10" t="s">
        <v>27</v>
      </c>
      <c r="O109" s="10"/>
      <c r="P109" s="33"/>
      <c r="Q109" s="6"/>
      <c r="R109" s="10"/>
      <c r="S109" s="33"/>
      <c r="T109" s="181"/>
      <c r="U109" s="175"/>
      <c r="V109" s="175"/>
      <c r="W109" s="191"/>
      <c r="X109" s="11"/>
      <c r="Y109" s="11" t="s">
        <v>475</v>
      </c>
      <c r="Z109" s="162" t="s">
        <v>658</v>
      </c>
      <c r="AA109" s="11"/>
      <c r="AB109" s="286"/>
      <c r="AC109" s="30"/>
      <c r="AD109" s="10"/>
      <c r="AH109" s="21">
        <v>1</v>
      </c>
      <c r="AI109" s="21" t="s">
        <v>219</v>
      </c>
      <c r="AJ109" s="21" t="s">
        <v>166</v>
      </c>
      <c r="AL109" s="21" t="s">
        <v>33</v>
      </c>
      <c r="AM109" s="21" t="s">
        <v>243</v>
      </c>
      <c r="AP109" s="21" t="e">
        <v>#REF!</v>
      </c>
    </row>
    <row r="110" spans="1:42" ht="12" customHeight="1">
      <c r="A110" s="160">
        <f t="shared" si="3"/>
        <v>108</v>
      </c>
      <c r="B110" s="134" t="s">
        <v>387</v>
      </c>
      <c r="C110" s="124" t="s">
        <v>31</v>
      </c>
      <c r="D110" s="283"/>
      <c r="E110" s="11" t="s">
        <v>117</v>
      </c>
      <c r="F110" s="142" t="s">
        <v>264</v>
      </c>
      <c r="G110" s="99" t="s">
        <v>257</v>
      </c>
      <c r="H110" s="30" t="s">
        <v>492</v>
      </c>
      <c r="I110" s="31" t="s">
        <v>76</v>
      </c>
      <c r="J110" s="8" t="s">
        <v>492</v>
      </c>
      <c r="K110" s="10" t="s">
        <v>95</v>
      </c>
      <c r="L110" s="10" t="s">
        <v>27</v>
      </c>
      <c r="M110" s="10" t="s">
        <v>33</v>
      </c>
      <c r="N110" s="10" t="s">
        <v>27</v>
      </c>
      <c r="O110" s="10"/>
      <c r="P110" s="33"/>
      <c r="Q110" s="6"/>
      <c r="R110" s="10"/>
      <c r="S110" s="33"/>
      <c r="T110" s="181"/>
      <c r="U110" s="175"/>
      <c r="V110" s="175"/>
      <c r="W110" s="191"/>
      <c r="X110" s="11"/>
      <c r="Y110" s="11" t="s">
        <v>475</v>
      </c>
      <c r="Z110" s="162" t="s">
        <v>659</v>
      </c>
      <c r="AA110" s="11"/>
      <c r="AB110" s="286"/>
      <c r="AC110" s="30"/>
      <c r="AD110" s="10"/>
      <c r="AH110" s="21">
        <v>1</v>
      </c>
      <c r="AI110" s="21" t="s">
        <v>219</v>
      </c>
      <c r="AJ110" s="21" t="s">
        <v>169</v>
      </c>
      <c r="AL110" s="21" t="s">
        <v>33</v>
      </c>
      <c r="AM110" s="21" t="s">
        <v>245</v>
      </c>
      <c r="AP110" s="21" t="e">
        <v>#REF!</v>
      </c>
    </row>
    <row r="111" spans="1:42" ht="12" customHeight="1">
      <c r="A111" s="160">
        <f t="shared" si="3"/>
        <v>109</v>
      </c>
      <c r="B111" s="134" t="s">
        <v>388</v>
      </c>
      <c r="C111" s="124" t="s">
        <v>31</v>
      </c>
      <c r="D111" s="283"/>
      <c r="E111" s="11" t="s">
        <v>117</v>
      </c>
      <c r="F111" s="36" t="s">
        <v>265</v>
      </c>
      <c r="G111" s="99" t="s">
        <v>257</v>
      </c>
      <c r="H111" s="30" t="s">
        <v>492</v>
      </c>
      <c r="I111" s="31" t="s">
        <v>76</v>
      </c>
      <c r="J111" s="8" t="s">
        <v>492</v>
      </c>
      <c r="K111" s="10" t="s">
        <v>95</v>
      </c>
      <c r="L111" s="10" t="s">
        <v>27</v>
      </c>
      <c r="M111" s="10" t="s">
        <v>33</v>
      </c>
      <c r="N111" s="10" t="s">
        <v>27</v>
      </c>
      <c r="O111" s="10"/>
      <c r="P111" s="33"/>
      <c r="Q111" s="6"/>
      <c r="R111" s="10"/>
      <c r="S111" s="33"/>
      <c r="T111" s="181"/>
      <c r="U111" s="175"/>
      <c r="V111" s="175"/>
      <c r="W111" s="191"/>
      <c r="X111" s="11"/>
      <c r="Y111" s="11" t="s">
        <v>475</v>
      </c>
      <c r="Z111" s="162" t="s">
        <v>660</v>
      </c>
      <c r="AA111" s="11"/>
      <c r="AB111" s="286"/>
      <c r="AC111" s="30"/>
      <c r="AD111" s="10"/>
      <c r="AH111" s="21">
        <v>1</v>
      </c>
      <c r="AI111" s="21" t="s">
        <v>219</v>
      </c>
      <c r="AJ111" s="21" t="s">
        <v>171</v>
      </c>
      <c r="AL111" s="21" t="s">
        <v>33</v>
      </c>
      <c r="AM111" s="21" t="s">
        <v>247</v>
      </c>
      <c r="AP111" s="21" t="e">
        <v>#REF!</v>
      </c>
    </row>
    <row r="112" spans="1:42" s="43" customFormat="1" ht="12" customHeight="1" thickBot="1">
      <c r="A112" s="160">
        <f t="shared" si="3"/>
        <v>110</v>
      </c>
      <c r="B112" s="134" t="s">
        <v>389</v>
      </c>
      <c r="C112" s="124" t="s">
        <v>31</v>
      </c>
      <c r="D112" s="283"/>
      <c r="E112" s="11" t="s">
        <v>117</v>
      </c>
      <c r="F112" s="36" t="s">
        <v>266</v>
      </c>
      <c r="G112" s="99" t="s">
        <v>257</v>
      </c>
      <c r="H112" s="30" t="s">
        <v>492</v>
      </c>
      <c r="I112" s="31" t="s">
        <v>76</v>
      </c>
      <c r="J112" s="8" t="s">
        <v>492</v>
      </c>
      <c r="K112" s="10" t="s">
        <v>95</v>
      </c>
      <c r="L112" s="10" t="s">
        <v>27</v>
      </c>
      <c r="M112" s="10" t="s">
        <v>33</v>
      </c>
      <c r="N112" s="10" t="s">
        <v>27</v>
      </c>
      <c r="O112" s="10"/>
      <c r="P112" s="33"/>
      <c r="Q112" s="6"/>
      <c r="R112" s="10"/>
      <c r="S112" s="33"/>
      <c r="T112" s="181"/>
      <c r="U112" s="175"/>
      <c r="V112" s="175"/>
      <c r="W112" s="191"/>
      <c r="X112" s="11"/>
      <c r="Y112" s="11" t="s">
        <v>475</v>
      </c>
      <c r="Z112" s="162" t="s">
        <v>661</v>
      </c>
      <c r="AA112" s="11"/>
      <c r="AB112" s="286"/>
      <c r="AC112" s="30"/>
      <c r="AD112" s="10"/>
      <c r="AH112" s="43">
        <v>1</v>
      </c>
      <c r="AI112" s="43" t="s">
        <v>219</v>
      </c>
      <c r="AJ112" s="43" t="s">
        <v>173</v>
      </c>
      <c r="AL112" s="43" t="s">
        <v>33</v>
      </c>
      <c r="AM112" s="43" t="s">
        <v>267</v>
      </c>
      <c r="AP112" s="43" t="e">
        <v>#REF!</v>
      </c>
    </row>
    <row r="113" spans="1:42" ht="12" customHeight="1">
      <c r="A113" s="160">
        <f t="shared" si="3"/>
        <v>111</v>
      </c>
      <c r="B113" s="134" t="s">
        <v>390</v>
      </c>
      <c r="C113" s="124" t="s">
        <v>31</v>
      </c>
      <c r="D113" s="283"/>
      <c r="E113" s="11" t="s">
        <v>117</v>
      </c>
      <c r="F113" s="36" t="s">
        <v>268</v>
      </c>
      <c r="G113" s="99" t="s">
        <v>257</v>
      </c>
      <c r="H113" s="30" t="s">
        <v>492</v>
      </c>
      <c r="I113" s="31" t="s">
        <v>76</v>
      </c>
      <c r="J113" s="8" t="s">
        <v>492</v>
      </c>
      <c r="K113" s="10" t="s">
        <v>95</v>
      </c>
      <c r="L113" s="10" t="s">
        <v>27</v>
      </c>
      <c r="M113" s="10" t="s">
        <v>33</v>
      </c>
      <c r="N113" s="10" t="s">
        <v>27</v>
      </c>
      <c r="O113" s="10"/>
      <c r="P113" s="33"/>
      <c r="Q113" s="6"/>
      <c r="R113" s="10"/>
      <c r="S113" s="33"/>
      <c r="T113" s="181"/>
      <c r="U113" s="175"/>
      <c r="V113" s="175"/>
      <c r="W113" s="191"/>
      <c r="X113" s="11"/>
      <c r="Y113" s="11" t="s">
        <v>475</v>
      </c>
      <c r="Z113" s="162" t="s">
        <v>662</v>
      </c>
      <c r="AA113" s="11"/>
      <c r="AB113" s="286"/>
      <c r="AC113" s="30"/>
      <c r="AD113" s="10"/>
      <c r="AH113" s="21">
        <v>1</v>
      </c>
      <c r="AI113" s="21" t="s">
        <v>219</v>
      </c>
      <c r="AJ113" s="21" t="s">
        <v>176</v>
      </c>
      <c r="AL113" s="21" t="s">
        <v>33</v>
      </c>
      <c r="AM113" s="21" t="s">
        <v>269</v>
      </c>
      <c r="AP113" s="21" t="e">
        <v>#REF!</v>
      </c>
    </row>
    <row r="114" spans="1:42" s="38" customFormat="1" ht="12" customHeight="1">
      <c r="A114" s="160">
        <f t="shared" si="3"/>
        <v>112</v>
      </c>
      <c r="B114" s="134" t="s">
        <v>391</v>
      </c>
      <c r="C114" s="124" t="s">
        <v>31</v>
      </c>
      <c r="D114" s="283"/>
      <c r="E114" s="11" t="s">
        <v>117</v>
      </c>
      <c r="F114" s="142" t="s">
        <v>543</v>
      </c>
      <c r="G114" s="99" t="s">
        <v>257</v>
      </c>
      <c r="H114" s="30" t="s">
        <v>492</v>
      </c>
      <c r="I114" s="31" t="s">
        <v>76</v>
      </c>
      <c r="J114" s="8" t="s">
        <v>492</v>
      </c>
      <c r="K114" s="10" t="s">
        <v>95</v>
      </c>
      <c r="L114" s="10" t="s">
        <v>27</v>
      </c>
      <c r="M114" s="10" t="s">
        <v>33</v>
      </c>
      <c r="N114" s="10" t="s">
        <v>27</v>
      </c>
      <c r="O114" s="10"/>
      <c r="P114" s="33"/>
      <c r="Q114" s="6"/>
      <c r="R114" s="10"/>
      <c r="S114" s="33"/>
      <c r="T114" s="181"/>
      <c r="U114" s="175"/>
      <c r="V114" s="175"/>
      <c r="W114" s="191"/>
      <c r="X114" s="11"/>
      <c r="Y114" s="11" t="s">
        <v>475</v>
      </c>
      <c r="Z114" s="162" t="s">
        <v>663</v>
      </c>
      <c r="AA114" s="11"/>
      <c r="AB114" s="287"/>
      <c r="AC114" s="30"/>
      <c r="AD114" s="10"/>
      <c r="AH114" s="38">
        <v>1</v>
      </c>
      <c r="AI114" s="38" t="s">
        <v>219</v>
      </c>
      <c r="AJ114" s="38" t="s">
        <v>188</v>
      </c>
      <c r="AL114" s="38" t="s">
        <v>33</v>
      </c>
      <c r="AM114" s="38" t="s">
        <v>270</v>
      </c>
      <c r="AP114" s="38" t="e">
        <f>IF(#REF!="","",LEFT(#REF!,FIND("-",#REF!)) &amp; IF(VALUE(MID(#REF!,FIND("-",#REF!)+1,4))&lt;1000,RIGHT("0000" &amp; MID(#REF!,FIND("-",#REF!)+1,4)+100,4),MID(#REF!,FIND("-",#REF!)+1,4)+1000))</f>
        <v>#REF!</v>
      </c>
    </row>
    <row r="115" spans="1:42" ht="12" customHeight="1">
      <c r="A115" s="160">
        <f t="shared" si="3"/>
        <v>113</v>
      </c>
      <c r="B115" s="135" t="s">
        <v>392</v>
      </c>
      <c r="C115" s="160" t="s">
        <v>31</v>
      </c>
      <c r="D115" s="283"/>
      <c r="E115" s="5" t="s">
        <v>117</v>
      </c>
      <c r="F115" s="49" t="s">
        <v>544</v>
      </c>
      <c r="G115" s="99" t="s">
        <v>257</v>
      </c>
      <c r="H115" s="30" t="s">
        <v>492</v>
      </c>
      <c r="I115" s="31" t="s">
        <v>76</v>
      </c>
      <c r="J115" s="8" t="s">
        <v>492</v>
      </c>
      <c r="K115" s="4"/>
      <c r="L115" s="4"/>
      <c r="M115" s="4"/>
      <c r="N115" s="4"/>
      <c r="O115" s="4"/>
      <c r="P115" s="32"/>
      <c r="Q115" s="3"/>
      <c r="R115" s="4"/>
      <c r="S115" s="32"/>
      <c r="T115" s="180"/>
      <c r="U115" s="174"/>
      <c r="V115" s="174"/>
      <c r="W115" s="190"/>
      <c r="X115" s="5"/>
      <c r="Y115" s="5" t="s">
        <v>475</v>
      </c>
      <c r="Z115" s="161" t="s">
        <v>664</v>
      </c>
      <c r="AA115" s="5"/>
      <c r="AB115" s="288"/>
      <c r="AC115" s="30"/>
      <c r="AD115" s="10"/>
      <c r="AH115" s="21">
        <v>1</v>
      </c>
      <c r="AI115" s="21" t="s">
        <v>219</v>
      </c>
      <c r="AJ115" s="21" t="s">
        <v>179</v>
      </c>
      <c r="AL115" s="21" t="s">
        <v>33</v>
      </c>
      <c r="AM115" s="21" t="s">
        <v>254</v>
      </c>
      <c r="AP115" s="21" t="e">
        <v>#REF!</v>
      </c>
    </row>
    <row r="116" spans="1:42" ht="12" customHeight="1">
      <c r="A116" s="160">
        <f t="shared" si="3"/>
        <v>114</v>
      </c>
      <c r="B116" s="134" t="s">
        <v>393</v>
      </c>
      <c r="C116" s="124" t="s">
        <v>31</v>
      </c>
      <c r="D116" s="283"/>
      <c r="E116" s="11" t="s">
        <v>117</v>
      </c>
      <c r="F116" s="36" t="s">
        <v>511</v>
      </c>
      <c r="G116" s="99" t="s">
        <v>257</v>
      </c>
      <c r="H116" s="30" t="s">
        <v>492</v>
      </c>
      <c r="I116" s="31" t="s">
        <v>76</v>
      </c>
      <c r="J116" s="8" t="s">
        <v>492</v>
      </c>
      <c r="K116" s="10"/>
      <c r="L116" s="10"/>
      <c r="M116" s="10"/>
      <c r="N116" s="10"/>
      <c r="O116" s="10"/>
      <c r="P116" s="33"/>
      <c r="Q116" s="6"/>
      <c r="R116" s="10"/>
      <c r="S116" s="33"/>
      <c r="T116" s="181"/>
      <c r="U116" s="175"/>
      <c r="V116" s="175"/>
      <c r="W116" s="191"/>
      <c r="X116" s="11"/>
      <c r="Y116" s="11" t="s">
        <v>475</v>
      </c>
      <c r="Z116" s="162" t="s">
        <v>665</v>
      </c>
      <c r="AA116" s="11"/>
      <c r="AB116" s="286"/>
      <c r="AC116" s="30"/>
      <c r="AD116" s="10"/>
      <c r="AH116" s="21">
        <v>1</v>
      </c>
      <c r="AI116" s="21" t="s">
        <v>219</v>
      </c>
      <c r="AJ116" s="21" t="s">
        <v>182</v>
      </c>
      <c r="AL116" s="21" t="s">
        <v>33</v>
      </c>
      <c r="AM116" s="21" t="s">
        <v>258</v>
      </c>
      <c r="AP116" s="21" t="e">
        <v>#REF!</v>
      </c>
    </row>
    <row r="117" spans="1:42" ht="12" customHeight="1">
      <c r="A117" s="160">
        <f t="shared" si="3"/>
        <v>115</v>
      </c>
      <c r="B117" s="134" t="s">
        <v>394</v>
      </c>
      <c r="C117" s="124" t="s">
        <v>31</v>
      </c>
      <c r="D117" s="283"/>
      <c r="E117" s="11" t="s">
        <v>117</v>
      </c>
      <c r="F117" s="36" t="s">
        <v>511</v>
      </c>
      <c r="G117" s="99" t="s">
        <v>257</v>
      </c>
      <c r="H117" s="30" t="s">
        <v>492</v>
      </c>
      <c r="I117" s="31" t="s">
        <v>76</v>
      </c>
      <c r="J117" s="8" t="s">
        <v>492</v>
      </c>
      <c r="K117" s="10"/>
      <c r="L117" s="10"/>
      <c r="M117" s="10"/>
      <c r="N117" s="10"/>
      <c r="O117" s="10"/>
      <c r="P117" s="33"/>
      <c r="Q117" s="6"/>
      <c r="R117" s="10"/>
      <c r="S117" s="33"/>
      <c r="T117" s="181"/>
      <c r="U117" s="175"/>
      <c r="V117" s="175"/>
      <c r="W117" s="191"/>
      <c r="X117" s="11"/>
      <c r="Y117" s="11" t="s">
        <v>475</v>
      </c>
      <c r="Z117" s="162" t="s">
        <v>666</v>
      </c>
      <c r="AA117" s="11"/>
      <c r="AB117" s="286"/>
      <c r="AC117" s="30"/>
      <c r="AD117" s="10"/>
      <c r="AH117" s="21">
        <v>1</v>
      </c>
      <c r="AI117" s="21" t="s">
        <v>219</v>
      </c>
      <c r="AJ117" s="21" t="s">
        <v>185</v>
      </c>
      <c r="AL117" s="21" t="s">
        <v>33</v>
      </c>
      <c r="AM117" s="21" t="s">
        <v>261</v>
      </c>
      <c r="AP11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18" spans="1:42" ht="12" customHeight="1">
      <c r="A118" s="160">
        <f t="shared" si="3"/>
        <v>116</v>
      </c>
      <c r="B118" s="134" t="s">
        <v>395</v>
      </c>
      <c r="C118" s="124" t="s">
        <v>31</v>
      </c>
      <c r="D118" s="283"/>
      <c r="E118" s="11" t="s">
        <v>117</v>
      </c>
      <c r="F118" s="36" t="s">
        <v>271</v>
      </c>
      <c r="G118" s="99" t="s">
        <v>239</v>
      </c>
      <c r="H118" s="30" t="s">
        <v>492</v>
      </c>
      <c r="I118" s="31" t="s">
        <v>76</v>
      </c>
      <c r="J118" s="8" t="s">
        <v>492</v>
      </c>
      <c r="K118" s="10"/>
      <c r="L118" s="10"/>
      <c r="M118" s="10"/>
      <c r="N118" s="10"/>
      <c r="O118" s="10"/>
      <c r="P118" s="33"/>
      <c r="Q118" s="6"/>
      <c r="R118" s="10"/>
      <c r="S118" s="33"/>
      <c r="T118" s="181"/>
      <c r="U118" s="175"/>
      <c r="V118" s="175"/>
      <c r="W118" s="191"/>
      <c r="X118" s="11"/>
      <c r="Y118" s="11" t="s">
        <v>475</v>
      </c>
      <c r="Z118" s="162" t="s">
        <v>667</v>
      </c>
      <c r="AA118" s="11"/>
      <c r="AB118" s="286"/>
      <c r="AC118" s="30"/>
      <c r="AD118" s="10"/>
      <c r="AH118" s="21">
        <v>1</v>
      </c>
      <c r="AI118" s="21" t="s">
        <v>219</v>
      </c>
      <c r="AJ118" s="21" t="s">
        <v>188</v>
      </c>
      <c r="AL118" s="21" t="s">
        <v>33</v>
      </c>
      <c r="AM118" s="21" t="s">
        <v>270</v>
      </c>
      <c r="AP11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19" spans="1:42" ht="12" customHeight="1">
      <c r="A119" s="160">
        <f t="shared" si="3"/>
        <v>117</v>
      </c>
      <c r="B119" s="134" t="s">
        <v>396</v>
      </c>
      <c r="C119" s="124" t="s">
        <v>31</v>
      </c>
      <c r="D119" s="283"/>
      <c r="E119" s="11" t="s">
        <v>117</v>
      </c>
      <c r="F119" s="142" t="s">
        <v>272</v>
      </c>
      <c r="G119" s="99" t="s">
        <v>257</v>
      </c>
      <c r="H119" s="30" t="s">
        <v>492</v>
      </c>
      <c r="I119" s="31" t="s">
        <v>76</v>
      </c>
      <c r="J119" s="8" t="s">
        <v>492</v>
      </c>
      <c r="K119" s="10"/>
      <c r="L119" s="10"/>
      <c r="M119" s="10"/>
      <c r="N119" s="10"/>
      <c r="O119" s="10"/>
      <c r="P119" s="33"/>
      <c r="Q119" s="6"/>
      <c r="R119" s="10"/>
      <c r="S119" s="33"/>
      <c r="T119" s="181"/>
      <c r="U119" s="175"/>
      <c r="V119" s="175"/>
      <c r="W119" s="191"/>
      <c r="X119" s="11"/>
      <c r="Y119" s="11" t="s">
        <v>475</v>
      </c>
      <c r="Z119" s="162" t="s">
        <v>668</v>
      </c>
      <c r="AA119" s="11"/>
      <c r="AB119" s="286"/>
      <c r="AC119" s="30"/>
      <c r="AD119" s="10"/>
      <c r="AH119" s="21">
        <v>1</v>
      </c>
      <c r="AI119" s="21" t="s">
        <v>219</v>
      </c>
      <c r="AJ119" s="21" t="s">
        <v>191</v>
      </c>
      <c r="AL119" s="21" t="s">
        <v>33</v>
      </c>
      <c r="AM119" s="21" t="s">
        <v>273</v>
      </c>
      <c r="AP11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0" spans="1:42" s="43" customFormat="1" ht="12" customHeight="1" thickBot="1">
      <c r="A120" s="160">
        <f t="shared" si="3"/>
        <v>118</v>
      </c>
      <c r="B120" s="134" t="s">
        <v>274</v>
      </c>
      <c r="C120" s="124" t="s">
        <v>31</v>
      </c>
      <c r="D120" s="283"/>
      <c r="E120" s="11" t="s">
        <v>117</v>
      </c>
      <c r="F120" s="36" t="s">
        <v>275</v>
      </c>
      <c r="G120" s="99" t="s">
        <v>257</v>
      </c>
      <c r="H120" s="30" t="s">
        <v>492</v>
      </c>
      <c r="I120" s="31" t="s">
        <v>76</v>
      </c>
      <c r="J120" s="8" t="s">
        <v>492</v>
      </c>
      <c r="K120" s="10"/>
      <c r="L120" s="10"/>
      <c r="M120" s="10"/>
      <c r="N120" s="10"/>
      <c r="O120" s="10"/>
      <c r="P120" s="33"/>
      <c r="Q120" s="6"/>
      <c r="R120" s="10"/>
      <c r="S120" s="33"/>
      <c r="T120" s="181"/>
      <c r="U120" s="175"/>
      <c r="V120" s="175"/>
      <c r="W120" s="191"/>
      <c r="X120" s="11"/>
      <c r="Y120" s="11" t="s">
        <v>475</v>
      </c>
      <c r="Z120" s="162" t="s">
        <v>669</v>
      </c>
      <c r="AA120" s="11"/>
      <c r="AB120" s="286"/>
      <c r="AC120" s="30"/>
      <c r="AD120" s="10"/>
      <c r="AH120" s="43">
        <v>1</v>
      </c>
      <c r="AI120" s="43" t="s">
        <v>219</v>
      </c>
      <c r="AJ120" s="43" t="s">
        <v>194</v>
      </c>
      <c r="AL120" s="43" t="s">
        <v>33</v>
      </c>
      <c r="AM120" s="43" t="s">
        <v>276</v>
      </c>
      <c r="AP120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21" spans="1:42" ht="12" customHeight="1">
      <c r="A121" s="160">
        <f t="shared" si="3"/>
        <v>119</v>
      </c>
      <c r="B121" s="134" t="s">
        <v>397</v>
      </c>
      <c r="C121" s="124" t="s">
        <v>31</v>
      </c>
      <c r="D121" s="283"/>
      <c r="E121" s="11" t="s">
        <v>117</v>
      </c>
      <c r="F121" s="36" t="s">
        <v>277</v>
      </c>
      <c r="G121" s="99" t="s">
        <v>257</v>
      </c>
      <c r="H121" s="30" t="s">
        <v>492</v>
      </c>
      <c r="I121" s="31" t="s">
        <v>76</v>
      </c>
      <c r="J121" s="8" t="s">
        <v>492</v>
      </c>
      <c r="K121" s="10" t="s">
        <v>95</v>
      </c>
      <c r="L121" s="10" t="s">
        <v>27</v>
      </c>
      <c r="M121" s="10" t="s">
        <v>33</v>
      </c>
      <c r="N121" s="10" t="s">
        <v>27</v>
      </c>
      <c r="O121" s="10"/>
      <c r="P121" s="33"/>
      <c r="Q121" s="6"/>
      <c r="R121" s="10"/>
      <c r="S121" s="33"/>
      <c r="T121" s="181"/>
      <c r="U121" s="175"/>
      <c r="V121" s="175"/>
      <c r="W121" s="191"/>
      <c r="X121" s="11"/>
      <c r="Y121" s="11" t="s">
        <v>475</v>
      </c>
      <c r="Z121" s="162" t="s">
        <v>670</v>
      </c>
      <c r="AA121" s="11"/>
      <c r="AB121" s="286"/>
      <c r="AC121" s="30"/>
      <c r="AD121" s="10"/>
      <c r="AH121" s="21">
        <v>1</v>
      </c>
      <c r="AI121" s="21" t="s">
        <v>219</v>
      </c>
      <c r="AJ121" s="21" t="s">
        <v>185</v>
      </c>
      <c r="AL121" s="21" t="s">
        <v>33</v>
      </c>
      <c r="AM121" s="21" t="s">
        <v>261</v>
      </c>
      <c r="AP12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2" spans="1:42" s="43" customFormat="1" ht="12" customHeight="1" thickBot="1">
      <c r="A122" s="160">
        <f t="shared" si="3"/>
        <v>120</v>
      </c>
      <c r="B122" s="143" t="s">
        <v>398</v>
      </c>
      <c r="C122" s="100" t="s">
        <v>31</v>
      </c>
      <c r="D122" s="284"/>
      <c r="E122" s="66" t="s">
        <v>117</v>
      </c>
      <c r="F122" s="138" t="s">
        <v>278</v>
      </c>
      <c r="G122" s="101" t="s">
        <v>257</v>
      </c>
      <c r="H122" s="60" t="s">
        <v>492</v>
      </c>
      <c r="I122" s="61" t="s">
        <v>76</v>
      </c>
      <c r="J122" s="62" t="s">
        <v>492</v>
      </c>
      <c r="K122" s="63" t="s">
        <v>95</v>
      </c>
      <c r="L122" s="63" t="s">
        <v>27</v>
      </c>
      <c r="M122" s="63" t="s">
        <v>33</v>
      </c>
      <c r="N122" s="63" t="s">
        <v>27</v>
      </c>
      <c r="O122" s="63"/>
      <c r="P122" s="65"/>
      <c r="Q122" s="64"/>
      <c r="R122" s="63"/>
      <c r="S122" s="65"/>
      <c r="T122" s="188"/>
      <c r="U122" s="178"/>
      <c r="V122" s="178"/>
      <c r="W122" s="194"/>
      <c r="X122" s="66"/>
      <c r="Y122" s="66" t="s">
        <v>475</v>
      </c>
      <c r="Z122" s="167" t="s">
        <v>671</v>
      </c>
      <c r="AA122" s="66"/>
      <c r="AB122" s="289"/>
      <c r="AC122" s="30"/>
      <c r="AD122" s="10"/>
      <c r="AH122" s="43">
        <v>1</v>
      </c>
      <c r="AI122" s="43" t="s">
        <v>219</v>
      </c>
      <c r="AJ122" s="43" t="s">
        <v>188</v>
      </c>
      <c r="AL122" s="43" t="s">
        <v>33</v>
      </c>
      <c r="AM122" s="43" t="s">
        <v>270</v>
      </c>
      <c r="AP122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23" spans="1:42" ht="12" customHeight="1">
      <c r="A123" s="160">
        <f t="shared" si="3"/>
        <v>121</v>
      </c>
      <c r="B123" s="146" t="s">
        <v>399</v>
      </c>
      <c r="C123" s="160" t="s">
        <v>31</v>
      </c>
      <c r="D123" s="283" t="s">
        <v>293</v>
      </c>
      <c r="E123" s="5" t="s">
        <v>117</v>
      </c>
      <c r="F123" s="49" t="s">
        <v>281</v>
      </c>
      <c r="G123" s="35" t="s">
        <v>282</v>
      </c>
      <c r="H123" s="44" t="s">
        <v>492</v>
      </c>
      <c r="I123" s="45" t="s">
        <v>76</v>
      </c>
      <c r="J123" s="1" t="s">
        <v>492</v>
      </c>
      <c r="K123" s="4" t="s">
        <v>95</v>
      </c>
      <c r="L123" s="4" t="s">
        <v>27</v>
      </c>
      <c r="M123" s="4" t="s">
        <v>33</v>
      </c>
      <c r="N123" s="4" t="s">
        <v>27</v>
      </c>
      <c r="O123" s="4"/>
      <c r="P123" s="32"/>
      <c r="Q123" s="3"/>
      <c r="R123" s="4"/>
      <c r="S123" s="32"/>
      <c r="T123" s="180"/>
      <c r="U123" s="174"/>
      <c r="V123" s="174"/>
      <c r="W123" s="190"/>
      <c r="X123" s="5"/>
      <c r="Y123" s="5" t="s">
        <v>475</v>
      </c>
      <c r="Z123" s="161" t="s">
        <v>672</v>
      </c>
      <c r="AA123" s="5"/>
      <c r="AH123" s="21">
        <v>1</v>
      </c>
      <c r="AI123" s="21" t="s">
        <v>219</v>
      </c>
      <c r="AJ123" s="21" t="s">
        <v>158</v>
      </c>
      <c r="AL123" s="21" t="s">
        <v>33</v>
      </c>
      <c r="AM123" s="21" t="s">
        <v>240</v>
      </c>
      <c r="AP12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4" spans="1:42" ht="12" customHeight="1">
      <c r="A124" s="160">
        <f t="shared" si="3"/>
        <v>122</v>
      </c>
      <c r="B124" s="147" t="s">
        <v>400</v>
      </c>
      <c r="C124" s="124" t="s">
        <v>31</v>
      </c>
      <c r="D124" s="283"/>
      <c r="E124" s="11" t="s">
        <v>117</v>
      </c>
      <c r="F124" s="36" t="s">
        <v>283</v>
      </c>
      <c r="G124" s="35" t="s">
        <v>282</v>
      </c>
      <c r="H124" s="30" t="s">
        <v>492</v>
      </c>
      <c r="I124" s="31" t="s">
        <v>76</v>
      </c>
      <c r="J124" s="8" t="s">
        <v>492</v>
      </c>
      <c r="K124" s="10" t="s">
        <v>95</v>
      </c>
      <c r="L124" s="10" t="s">
        <v>27</v>
      </c>
      <c r="M124" s="10" t="s">
        <v>33</v>
      </c>
      <c r="N124" s="10" t="s">
        <v>27</v>
      </c>
      <c r="O124" s="10"/>
      <c r="P124" s="33"/>
      <c r="Q124" s="6"/>
      <c r="R124" s="10"/>
      <c r="S124" s="33"/>
      <c r="T124" s="181"/>
      <c r="U124" s="175"/>
      <c r="V124" s="175"/>
      <c r="W124" s="191"/>
      <c r="X124" s="11"/>
      <c r="Y124" s="11" t="s">
        <v>475</v>
      </c>
      <c r="Z124" s="162" t="s">
        <v>673</v>
      </c>
      <c r="AA124" s="11"/>
      <c r="AH124" s="21">
        <v>1</v>
      </c>
      <c r="AI124" s="21" t="s">
        <v>219</v>
      </c>
      <c r="AJ124" s="21" t="s">
        <v>160</v>
      </c>
      <c r="AL124" s="21" t="s">
        <v>33</v>
      </c>
      <c r="AM124" s="21" t="s">
        <v>241</v>
      </c>
      <c r="AP124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5" spans="1:42" ht="12" customHeight="1">
      <c r="A125" s="160">
        <f t="shared" si="3"/>
        <v>123</v>
      </c>
      <c r="B125" s="147" t="s">
        <v>401</v>
      </c>
      <c r="C125" s="124" t="s">
        <v>31</v>
      </c>
      <c r="D125" s="283"/>
      <c r="E125" s="11" t="s">
        <v>117</v>
      </c>
      <c r="F125" s="36" t="s">
        <v>284</v>
      </c>
      <c r="G125" s="35" t="s">
        <v>282</v>
      </c>
      <c r="H125" s="30" t="s">
        <v>492</v>
      </c>
      <c r="I125" s="31" t="s">
        <v>76</v>
      </c>
      <c r="J125" s="8" t="s">
        <v>492</v>
      </c>
      <c r="K125" s="10"/>
      <c r="L125" s="10"/>
      <c r="M125" s="10"/>
      <c r="N125" s="10"/>
      <c r="O125" s="10"/>
      <c r="P125" s="33"/>
      <c r="Q125" s="6"/>
      <c r="R125" s="10"/>
      <c r="S125" s="33"/>
      <c r="T125" s="181"/>
      <c r="U125" s="175"/>
      <c r="V125" s="175"/>
      <c r="W125" s="191"/>
      <c r="X125" s="11"/>
      <c r="Y125" s="11" t="s">
        <v>475</v>
      </c>
      <c r="Z125" s="162" t="s">
        <v>674</v>
      </c>
      <c r="AA125" s="11"/>
      <c r="AH125" s="21">
        <v>1</v>
      </c>
      <c r="AI125" s="21" t="s">
        <v>219</v>
      </c>
      <c r="AJ125" s="21" t="s">
        <v>163</v>
      </c>
      <c r="AL125" s="21" t="s">
        <v>33</v>
      </c>
      <c r="AM125" s="21" t="s">
        <v>242</v>
      </c>
      <c r="AP12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6" spans="1:42" ht="12" customHeight="1">
      <c r="A126" s="160">
        <f t="shared" si="3"/>
        <v>124</v>
      </c>
      <c r="B126" s="147" t="s">
        <v>402</v>
      </c>
      <c r="C126" s="124" t="s">
        <v>31</v>
      </c>
      <c r="D126" s="283"/>
      <c r="E126" s="11" t="s">
        <v>117</v>
      </c>
      <c r="F126" s="36" t="s">
        <v>285</v>
      </c>
      <c r="G126" s="99" t="s">
        <v>239</v>
      </c>
      <c r="H126" s="30" t="s">
        <v>492</v>
      </c>
      <c r="I126" s="31" t="s">
        <v>76</v>
      </c>
      <c r="J126" s="8" t="s">
        <v>492</v>
      </c>
      <c r="K126" s="10"/>
      <c r="L126" s="10"/>
      <c r="M126" s="10"/>
      <c r="N126" s="10"/>
      <c r="O126" s="10"/>
      <c r="P126" s="33"/>
      <c r="Q126" s="6"/>
      <c r="R126" s="10"/>
      <c r="S126" s="33"/>
      <c r="T126" s="181"/>
      <c r="U126" s="175"/>
      <c r="V126" s="175"/>
      <c r="W126" s="191"/>
      <c r="X126" s="11"/>
      <c r="Y126" s="11" t="s">
        <v>475</v>
      </c>
      <c r="Z126" s="162" t="s">
        <v>675</v>
      </c>
      <c r="AA126" s="11"/>
      <c r="AH126" s="21">
        <v>1</v>
      </c>
      <c r="AI126" s="21" t="s">
        <v>219</v>
      </c>
      <c r="AJ126" s="21" t="s">
        <v>166</v>
      </c>
      <c r="AL126" s="21" t="s">
        <v>33</v>
      </c>
      <c r="AM126" s="21" t="s">
        <v>243</v>
      </c>
      <c r="AP12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7" spans="1:42" ht="12" customHeight="1">
      <c r="A127" s="160">
        <f t="shared" si="3"/>
        <v>125</v>
      </c>
      <c r="B127" s="147" t="s">
        <v>403</v>
      </c>
      <c r="C127" s="124" t="s">
        <v>31</v>
      </c>
      <c r="D127" s="283"/>
      <c r="E127" s="11" t="s">
        <v>117</v>
      </c>
      <c r="F127" s="36" t="s">
        <v>286</v>
      </c>
      <c r="G127" s="35" t="s">
        <v>282</v>
      </c>
      <c r="H127" s="30" t="s">
        <v>492</v>
      </c>
      <c r="I127" s="31" t="s">
        <v>76</v>
      </c>
      <c r="J127" s="8" t="s">
        <v>492</v>
      </c>
      <c r="K127" s="10"/>
      <c r="L127" s="10"/>
      <c r="M127" s="10"/>
      <c r="N127" s="10"/>
      <c r="O127" s="10"/>
      <c r="P127" s="33"/>
      <c r="Q127" s="6"/>
      <c r="R127" s="10"/>
      <c r="S127" s="33"/>
      <c r="T127" s="181"/>
      <c r="U127" s="175"/>
      <c r="V127" s="175"/>
      <c r="W127" s="191"/>
      <c r="X127" s="11"/>
      <c r="Y127" s="11" t="s">
        <v>475</v>
      </c>
      <c r="Z127" s="162" t="s">
        <v>676</v>
      </c>
      <c r="AA127" s="11"/>
      <c r="AH127" s="21">
        <v>1</v>
      </c>
      <c r="AI127" s="21" t="s">
        <v>219</v>
      </c>
      <c r="AJ127" s="21" t="s">
        <v>169</v>
      </c>
      <c r="AL127" s="21" t="s">
        <v>33</v>
      </c>
      <c r="AM127" s="21" t="s">
        <v>245</v>
      </c>
      <c r="AP12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8" spans="1:42" ht="12" customHeight="1">
      <c r="A128" s="160">
        <f t="shared" si="3"/>
        <v>126</v>
      </c>
      <c r="B128" s="147" t="s">
        <v>404</v>
      </c>
      <c r="C128" s="124" t="s">
        <v>31</v>
      </c>
      <c r="D128" s="283"/>
      <c r="E128" s="11" t="s">
        <v>117</v>
      </c>
      <c r="F128" s="36" t="s">
        <v>287</v>
      </c>
      <c r="G128" s="99" t="s">
        <v>239</v>
      </c>
      <c r="H128" s="30" t="s">
        <v>492</v>
      </c>
      <c r="I128" s="31" t="s">
        <v>76</v>
      </c>
      <c r="J128" s="8" t="s">
        <v>492</v>
      </c>
      <c r="K128" s="10" t="s">
        <v>95</v>
      </c>
      <c r="L128" s="10" t="s">
        <v>27</v>
      </c>
      <c r="M128" s="10" t="s">
        <v>33</v>
      </c>
      <c r="N128" s="10" t="s">
        <v>27</v>
      </c>
      <c r="O128" s="10"/>
      <c r="P128" s="33"/>
      <c r="Q128" s="6"/>
      <c r="R128" s="10"/>
      <c r="S128" s="33"/>
      <c r="T128" s="181"/>
      <c r="U128" s="175"/>
      <c r="V128" s="175"/>
      <c r="W128" s="191"/>
      <c r="X128" s="11"/>
      <c r="Y128" s="11" t="s">
        <v>475</v>
      </c>
      <c r="Z128" s="162" t="s">
        <v>677</v>
      </c>
      <c r="AA128" s="11"/>
      <c r="AB128" s="288"/>
      <c r="AC128" s="30"/>
      <c r="AD128" s="10"/>
      <c r="AH128" s="21">
        <v>1</v>
      </c>
      <c r="AI128" s="21" t="s">
        <v>219</v>
      </c>
      <c r="AJ128" s="21" t="s">
        <v>171</v>
      </c>
      <c r="AL128" s="21" t="s">
        <v>33</v>
      </c>
      <c r="AM128" s="21" t="s">
        <v>247</v>
      </c>
      <c r="AP12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29" spans="1:42" ht="12" customHeight="1">
      <c r="A129" s="160">
        <f t="shared" si="3"/>
        <v>127</v>
      </c>
      <c r="B129" s="147" t="s">
        <v>405</v>
      </c>
      <c r="C129" s="124" t="s">
        <v>31</v>
      </c>
      <c r="D129" s="283"/>
      <c r="E129" s="11" t="s">
        <v>117</v>
      </c>
      <c r="F129" s="36" t="s">
        <v>288</v>
      </c>
      <c r="G129" s="35" t="s">
        <v>282</v>
      </c>
      <c r="H129" s="30" t="s">
        <v>492</v>
      </c>
      <c r="I129" s="31" t="s">
        <v>76</v>
      </c>
      <c r="J129" s="8" t="s">
        <v>492</v>
      </c>
      <c r="K129" s="10" t="s">
        <v>95</v>
      </c>
      <c r="L129" s="10" t="s">
        <v>27</v>
      </c>
      <c r="M129" s="10" t="s">
        <v>33</v>
      </c>
      <c r="N129" s="10" t="s">
        <v>27</v>
      </c>
      <c r="O129" s="10"/>
      <c r="P129" s="33"/>
      <c r="Q129" s="6"/>
      <c r="R129" s="10"/>
      <c r="S129" s="33"/>
      <c r="T129" s="181"/>
      <c r="U129" s="175"/>
      <c r="V129" s="175"/>
      <c r="W129" s="191"/>
      <c r="X129" s="11"/>
      <c r="Y129" s="11" t="s">
        <v>475</v>
      </c>
      <c r="Z129" s="162" t="s">
        <v>678</v>
      </c>
      <c r="AA129" s="11"/>
      <c r="AB129" s="286"/>
      <c r="AC129" s="30"/>
      <c r="AD129" s="10"/>
      <c r="AH129" s="21">
        <v>1</v>
      </c>
      <c r="AI129" s="21" t="s">
        <v>219</v>
      </c>
      <c r="AJ129" s="21" t="s">
        <v>160</v>
      </c>
      <c r="AL129" s="21" t="s">
        <v>33</v>
      </c>
      <c r="AM129" s="21" t="s">
        <v>241</v>
      </c>
      <c r="AP12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30" spans="1:42" ht="12" customHeight="1">
      <c r="A130" s="160">
        <f t="shared" si="3"/>
        <v>128</v>
      </c>
      <c r="B130" s="147" t="s">
        <v>406</v>
      </c>
      <c r="C130" s="124" t="s">
        <v>31</v>
      </c>
      <c r="D130" s="283"/>
      <c r="E130" s="11" t="s">
        <v>117</v>
      </c>
      <c r="F130" s="36" t="s">
        <v>289</v>
      </c>
      <c r="G130" s="99" t="s">
        <v>239</v>
      </c>
      <c r="H130" s="30" t="s">
        <v>492</v>
      </c>
      <c r="I130" s="31" t="s">
        <v>76</v>
      </c>
      <c r="J130" s="8" t="s">
        <v>492</v>
      </c>
      <c r="K130" s="10"/>
      <c r="L130" s="10"/>
      <c r="M130" s="10"/>
      <c r="N130" s="10"/>
      <c r="O130" s="10"/>
      <c r="P130" s="33"/>
      <c r="Q130" s="6"/>
      <c r="R130" s="10"/>
      <c r="S130" s="33"/>
      <c r="T130" s="181"/>
      <c r="U130" s="175"/>
      <c r="V130" s="175"/>
      <c r="W130" s="191"/>
      <c r="X130" s="11"/>
      <c r="Y130" s="11" t="s">
        <v>475</v>
      </c>
      <c r="Z130" s="162" t="s">
        <v>679</v>
      </c>
      <c r="AA130" s="11"/>
      <c r="AB130" s="286"/>
      <c r="AC130" s="30"/>
      <c r="AD130" s="10"/>
      <c r="AH130" s="21">
        <v>1</v>
      </c>
      <c r="AI130" s="21" t="s">
        <v>219</v>
      </c>
      <c r="AJ130" s="21" t="s">
        <v>163</v>
      </c>
      <c r="AL130" s="21" t="s">
        <v>33</v>
      </c>
      <c r="AM130" s="21" t="s">
        <v>242</v>
      </c>
      <c r="AP13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31" spans="1:42" ht="12" customHeight="1">
      <c r="A131" s="160">
        <f t="shared" si="3"/>
        <v>129</v>
      </c>
      <c r="B131" s="147" t="s">
        <v>407</v>
      </c>
      <c r="C131" s="124" t="s">
        <v>31</v>
      </c>
      <c r="D131" s="283"/>
      <c r="E131" s="11" t="s">
        <v>117</v>
      </c>
      <c r="F131" s="36" t="s">
        <v>290</v>
      </c>
      <c r="G131" s="35" t="s">
        <v>282</v>
      </c>
      <c r="H131" s="30" t="s">
        <v>492</v>
      </c>
      <c r="I131" s="31" t="s">
        <v>76</v>
      </c>
      <c r="J131" s="8" t="s">
        <v>492</v>
      </c>
      <c r="K131" s="10"/>
      <c r="L131" s="10"/>
      <c r="M131" s="10"/>
      <c r="N131" s="10"/>
      <c r="O131" s="10"/>
      <c r="P131" s="33"/>
      <c r="Q131" s="6"/>
      <c r="R131" s="10"/>
      <c r="S131" s="33"/>
      <c r="T131" s="181"/>
      <c r="U131" s="175"/>
      <c r="V131" s="175"/>
      <c r="W131" s="191"/>
      <c r="X131" s="11"/>
      <c r="Y131" s="11" t="s">
        <v>475</v>
      </c>
      <c r="Z131" s="162" t="s">
        <v>680</v>
      </c>
      <c r="AA131" s="11"/>
      <c r="AB131" s="286"/>
      <c r="AC131" s="30"/>
      <c r="AD131" s="10"/>
      <c r="AH131" s="21">
        <v>1</v>
      </c>
      <c r="AI131" s="21" t="s">
        <v>219</v>
      </c>
      <c r="AJ131" s="21" t="s">
        <v>166</v>
      </c>
      <c r="AL131" s="21" t="s">
        <v>33</v>
      </c>
      <c r="AM131" s="21" t="s">
        <v>243</v>
      </c>
      <c r="AP13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32" spans="1:42" ht="12" customHeight="1">
      <c r="A132" s="160">
        <f t="shared" ref="A132:A186" si="4">A131+1</f>
        <v>130</v>
      </c>
      <c r="B132" s="147" t="s">
        <v>408</v>
      </c>
      <c r="C132" s="124" t="s">
        <v>31</v>
      </c>
      <c r="D132" s="283"/>
      <c r="E132" s="11" t="s">
        <v>117</v>
      </c>
      <c r="F132" s="36" t="s">
        <v>291</v>
      </c>
      <c r="G132" s="99" t="s">
        <v>239</v>
      </c>
      <c r="H132" s="30" t="s">
        <v>492</v>
      </c>
      <c r="I132" s="31" t="s">
        <v>76</v>
      </c>
      <c r="J132" s="8" t="s">
        <v>492</v>
      </c>
      <c r="K132" s="10"/>
      <c r="L132" s="10"/>
      <c r="M132" s="10"/>
      <c r="N132" s="10"/>
      <c r="O132" s="10"/>
      <c r="P132" s="33"/>
      <c r="Q132" s="6"/>
      <c r="R132" s="10"/>
      <c r="S132" s="33"/>
      <c r="T132" s="181"/>
      <c r="U132" s="175"/>
      <c r="V132" s="175"/>
      <c r="W132" s="191"/>
      <c r="X132" s="11"/>
      <c r="Y132" s="11" t="s">
        <v>475</v>
      </c>
      <c r="Z132" s="162" t="s">
        <v>681</v>
      </c>
      <c r="AA132" s="11"/>
      <c r="AB132" s="287"/>
      <c r="AC132" s="30"/>
      <c r="AD132" s="10"/>
      <c r="AH132" s="21">
        <v>1</v>
      </c>
      <c r="AI132" s="21" t="s">
        <v>219</v>
      </c>
      <c r="AJ132" s="21" t="s">
        <v>169</v>
      </c>
      <c r="AL132" s="21" t="s">
        <v>33</v>
      </c>
      <c r="AM132" s="21" t="s">
        <v>245</v>
      </c>
      <c r="AP132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33" spans="1:42" ht="12" customHeight="1">
      <c r="A133" s="160">
        <f t="shared" si="4"/>
        <v>131</v>
      </c>
      <c r="B133" s="147" t="s">
        <v>432</v>
      </c>
      <c r="C133" s="124" t="s">
        <v>31</v>
      </c>
      <c r="D133" s="283"/>
      <c r="E133" s="11" t="s">
        <v>117</v>
      </c>
      <c r="F133" s="36" t="s">
        <v>292</v>
      </c>
      <c r="G133" s="99" t="s">
        <v>257</v>
      </c>
      <c r="H133" s="30" t="s">
        <v>492</v>
      </c>
      <c r="I133" s="31" t="s">
        <v>76</v>
      </c>
      <c r="J133" s="8" t="s">
        <v>492</v>
      </c>
      <c r="K133" s="10" t="s">
        <v>95</v>
      </c>
      <c r="L133" s="10" t="s">
        <v>27</v>
      </c>
      <c r="M133" s="10" t="s">
        <v>33</v>
      </c>
      <c r="N133" s="10" t="s">
        <v>27</v>
      </c>
      <c r="O133" s="10"/>
      <c r="P133" s="33"/>
      <c r="Q133" s="6"/>
      <c r="R133" s="10"/>
      <c r="S133" s="33"/>
      <c r="T133" s="181"/>
      <c r="U133" s="175"/>
      <c r="V133" s="175"/>
      <c r="W133" s="191"/>
      <c r="X133" s="11"/>
      <c r="Y133" s="11" t="s">
        <v>475</v>
      </c>
      <c r="Z133" s="162" t="s">
        <v>682</v>
      </c>
      <c r="AA133" s="11"/>
      <c r="AB133" s="288"/>
      <c r="AC133" s="30"/>
      <c r="AD133" s="10"/>
      <c r="AH133" s="21">
        <v>1</v>
      </c>
      <c r="AI133" s="21" t="s">
        <v>219</v>
      </c>
      <c r="AJ133" s="21" t="s">
        <v>179</v>
      </c>
      <c r="AL133" s="21" t="s">
        <v>33</v>
      </c>
      <c r="AM133" s="21" t="s">
        <v>254</v>
      </c>
      <c r="AP133" s="21" t="e">
        <v>#REF!</v>
      </c>
    </row>
    <row r="134" spans="1:42" ht="12" customHeight="1">
      <c r="A134" s="160">
        <f t="shared" si="4"/>
        <v>132</v>
      </c>
      <c r="B134" s="147" t="s">
        <v>437</v>
      </c>
      <c r="C134" s="160" t="s">
        <v>31</v>
      </c>
      <c r="D134" s="283"/>
      <c r="E134" s="5" t="s">
        <v>117</v>
      </c>
      <c r="F134" s="36" t="s">
        <v>442</v>
      </c>
      <c r="G134" s="35" t="s">
        <v>282</v>
      </c>
      <c r="H134" s="30" t="s">
        <v>492</v>
      </c>
      <c r="I134" s="31" t="s">
        <v>76</v>
      </c>
      <c r="J134" s="8" t="s">
        <v>492</v>
      </c>
      <c r="K134" s="4" t="s">
        <v>95</v>
      </c>
      <c r="L134" s="4" t="s">
        <v>27</v>
      </c>
      <c r="M134" s="4" t="s">
        <v>33</v>
      </c>
      <c r="N134" s="4" t="s">
        <v>27</v>
      </c>
      <c r="O134" s="4"/>
      <c r="P134" s="32"/>
      <c r="Q134" s="3"/>
      <c r="R134" s="4"/>
      <c r="S134" s="32"/>
      <c r="T134" s="180"/>
      <c r="U134" s="174"/>
      <c r="V134" s="174"/>
      <c r="W134" s="190"/>
      <c r="X134" s="5"/>
      <c r="Y134" s="5" t="s">
        <v>475</v>
      </c>
      <c r="Z134" s="161" t="s">
        <v>683</v>
      </c>
      <c r="AA134" s="5"/>
      <c r="AB134" s="286"/>
      <c r="AC134" s="30"/>
      <c r="AD134" s="10"/>
      <c r="AH134" s="21">
        <v>1</v>
      </c>
      <c r="AI134" s="21" t="s">
        <v>219</v>
      </c>
      <c r="AJ134" s="21" t="s">
        <v>179</v>
      </c>
      <c r="AL134" s="21" t="s">
        <v>33</v>
      </c>
      <c r="AM134" s="21" t="s">
        <v>254</v>
      </c>
      <c r="AP134" s="21" t="e">
        <v>#REF!</v>
      </c>
    </row>
    <row r="135" spans="1:42" ht="12" customHeight="1">
      <c r="A135" s="160">
        <f t="shared" si="4"/>
        <v>133</v>
      </c>
      <c r="B135" s="147" t="s">
        <v>438</v>
      </c>
      <c r="C135" s="124" t="s">
        <v>31</v>
      </c>
      <c r="D135" s="283"/>
      <c r="E135" s="11" t="s">
        <v>117</v>
      </c>
      <c r="F135" s="36" t="s">
        <v>443</v>
      </c>
      <c r="G135" s="35" t="s">
        <v>282</v>
      </c>
      <c r="H135" s="30" t="s">
        <v>492</v>
      </c>
      <c r="I135" s="31" t="s">
        <v>76</v>
      </c>
      <c r="J135" s="8" t="s">
        <v>492</v>
      </c>
      <c r="K135" s="10"/>
      <c r="L135" s="10"/>
      <c r="M135" s="10"/>
      <c r="N135" s="10"/>
      <c r="O135" s="10"/>
      <c r="P135" s="33"/>
      <c r="Q135" s="6"/>
      <c r="R135" s="10"/>
      <c r="S135" s="33"/>
      <c r="T135" s="181"/>
      <c r="U135" s="175"/>
      <c r="V135" s="175"/>
      <c r="W135" s="191"/>
      <c r="X135" s="11"/>
      <c r="Y135" s="11" t="s">
        <v>475</v>
      </c>
      <c r="Z135" s="162" t="s">
        <v>684</v>
      </c>
      <c r="AA135" s="11"/>
      <c r="AB135" s="286"/>
      <c r="AC135" s="30"/>
      <c r="AD135" s="10"/>
      <c r="AH135" s="21">
        <v>1</v>
      </c>
      <c r="AI135" s="21" t="s">
        <v>219</v>
      </c>
      <c r="AJ135" s="21" t="s">
        <v>182</v>
      </c>
      <c r="AL135" s="21" t="s">
        <v>33</v>
      </c>
      <c r="AM135" s="21" t="s">
        <v>258</v>
      </c>
      <c r="AP135" s="21" t="e">
        <v>#REF!</v>
      </c>
    </row>
    <row r="136" spans="1:42" ht="12" customHeight="1">
      <c r="A136" s="160">
        <f t="shared" si="4"/>
        <v>134</v>
      </c>
      <c r="B136" s="147" t="s">
        <v>439</v>
      </c>
      <c r="C136" s="160" t="s">
        <v>31</v>
      </c>
      <c r="D136" s="283"/>
      <c r="E136" s="5" t="s">
        <v>117</v>
      </c>
      <c r="F136" s="36" t="s">
        <v>444</v>
      </c>
      <c r="G136" s="35" t="s">
        <v>282</v>
      </c>
      <c r="H136" s="30" t="s">
        <v>492</v>
      </c>
      <c r="I136" s="31" t="s">
        <v>76</v>
      </c>
      <c r="J136" s="8" t="s">
        <v>492</v>
      </c>
      <c r="K136" s="4"/>
      <c r="L136" s="4"/>
      <c r="M136" s="4"/>
      <c r="N136" s="4"/>
      <c r="O136" s="4"/>
      <c r="P136" s="32"/>
      <c r="Q136" s="3"/>
      <c r="R136" s="4"/>
      <c r="S136" s="32"/>
      <c r="T136" s="180"/>
      <c r="U136" s="174"/>
      <c r="V136" s="174"/>
      <c r="W136" s="190"/>
      <c r="X136" s="5"/>
      <c r="Y136" s="5" t="s">
        <v>475</v>
      </c>
      <c r="Z136" s="161" t="s">
        <v>685</v>
      </c>
      <c r="AA136" s="5"/>
      <c r="AB136" s="286"/>
      <c r="AC136" s="30"/>
      <c r="AD136" s="10"/>
      <c r="AH136" s="21">
        <v>1</v>
      </c>
      <c r="AI136" s="21" t="s">
        <v>219</v>
      </c>
      <c r="AJ136" s="21" t="s">
        <v>179</v>
      </c>
      <c r="AL136" s="21" t="s">
        <v>33</v>
      </c>
      <c r="AM136" s="21" t="s">
        <v>254</v>
      </c>
      <c r="AP13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37" spans="1:42" ht="12" customHeight="1">
      <c r="A137" s="160">
        <f t="shared" si="4"/>
        <v>135</v>
      </c>
      <c r="B137" s="147" t="s">
        <v>440</v>
      </c>
      <c r="C137" s="124" t="s">
        <v>31</v>
      </c>
      <c r="D137" s="283"/>
      <c r="E137" s="11" t="s">
        <v>117</v>
      </c>
      <c r="F137" s="36" t="s">
        <v>445</v>
      </c>
      <c r="G137" s="35" t="s">
        <v>282</v>
      </c>
      <c r="H137" s="30" t="s">
        <v>492</v>
      </c>
      <c r="I137" s="31" t="s">
        <v>76</v>
      </c>
      <c r="J137" s="8" t="s">
        <v>492</v>
      </c>
      <c r="K137" s="10"/>
      <c r="L137" s="10"/>
      <c r="M137" s="10"/>
      <c r="N137" s="10"/>
      <c r="O137" s="10"/>
      <c r="P137" s="33"/>
      <c r="Q137" s="6"/>
      <c r="R137" s="10"/>
      <c r="S137" s="33"/>
      <c r="T137" s="181"/>
      <c r="U137" s="175"/>
      <c r="V137" s="175"/>
      <c r="W137" s="191"/>
      <c r="X137" s="11"/>
      <c r="Y137" s="11" t="s">
        <v>475</v>
      </c>
      <c r="Z137" s="162" t="s">
        <v>686</v>
      </c>
      <c r="AA137" s="11"/>
      <c r="AB137" s="287"/>
      <c r="AC137" s="30"/>
      <c r="AD137" s="10"/>
      <c r="AH137" s="21">
        <v>1</v>
      </c>
      <c r="AI137" s="21" t="s">
        <v>219</v>
      </c>
      <c r="AJ137" s="21" t="s">
        <v>182</v>
      </c>
      <c r="AL137" s="21" t="s">
        <v>33</v>
      </c>
      <c r="AM137" s="21" t="s">
        <v>258</v>
      </c>
      <c r="AP13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38" spans="1:42" s="43" customFormat="1" ht="12" customHeight="1" thickBot="1">
      <c r="A138" s="160">
        <f t="shared" si="4"/>
        <v>136</v>
      </c>
      <c r="B138" s="148" t="s">
        <v>441</v>
      </c>
      <c r="C138" s="100" t="s">
        <v>31</v>
      </c>
      <c r="D138" s="284"/>
      <c r="E138" s="66" t="s">
        <v>117</v>
      </c>
      <c r="F138" s="138" t="s">
        <v>446</v>
      </c>
      <c r="G138" s="101" t="s">
        <v>239</v>
      </c>
      <c r="H138" s="60" t="s">
        <v>492</v>
      </c>
      <c r="I138" s="61" t="s">
        <v>76</v>
      </c>
      <c r="J138" s="62" t="s">
        <v>492</v>
      </c>
      <c r="K138" s="63" t="s">
        <v>95</v>
      </c>
      <c r="L138" s="63" t="s">
        <v>27</v>
      </c>
      <c r="M138" s="63" t="s">
        <v>33</v>
      </c>
      <c r="N138" s="63" t="s">
        <v>27</v>
      </c>
      <c r="O138" s="63"/>
      <c r="P138" s="65"/>
      <c r="Q138" s="64"/>
      <c r="R138" s="63"/>
      <c r="S138" s="65"/>
      <c r="T138" s="188"/>
      <c r="U138" s="178"/>
      <c r="V138" s="178"/>
      <c r="W138" s="194"/>
      <c r="X138" s="66"/>
      <c r="Y138" s="66" t="s">
        <v>475</v>
      </c>
      <c r="Z138" s="167" t="s">
        <v>687</v>
      </c>
      <c r="AA138" s="66"/>
      <c r="AB138" s="98"/>
      <c r="AC138" s="30"/>
      <c r="AD138" s="10"/>
      <c r="AH138" s="43">
        <v>1</v>
      </c>
      <c r="AI138" s="43" t="s">
        <v>219</v>
      </c>
      <c r="AJ138" s="43" t="s">
        <v>185</v>
      </c>
      <c r="AL138" s="43" t="s">
        <v>33</v>
      </c>
      <c r="AM138" s="43" t="s">
        <v>261</v>
      </c>
      <c r="AP138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39" spans="1:42" ht="12" customHeight="1">
      <c r="A139" s="160">
        <f t="shared" si="4"/>
        <v>137</v>
      </c>
      <c r="B139" s="146" t="s">
        <v>522</v>
      </c>
      <c r="C139" s="160" t="s">
        <v>31</v>
      </c>
      <c r="D139" s="283" t="s">
        <v>502</v>
      </c>
      <c r="E139" s="5" t="s">
        <v>117</v>
      </c>
      <c r="F139" s="49" t="s">
        <v>523</v>
      </c>
      <c r="G139" s="35" t="s">
        <v>521</v>
      </c>
      <c r="H139" s="44" t="s">
        <v>492</v>
      </c>
      <c r="I139" s="45" t="s">
        <v>76</v>
      </c>
      <c r="J139" s="1" t="s">
        <v>492</v>
      </c>
      <c r="K139" s="4" t="s">
        <v>95</v>
      </c>
      <c r="L139" s="4" t="s">
        <v>27</v>
      </c>
      <c r="M139" s="4" t="s">
        <v>33</v>
      </c>
      <c r="N139" s="4" t="s">
        <v>27</v>
      </c>
      <c r="O139" s="4"/>
      <c r="P139" s="32"/>
      <c r="Q139" s="3"/>
      <c r="R139" s="4"/>
      <c r="S139" s="32"/>
      <c r="T139" s="180"/>
      <c r="U139" s="174"/>
      <c r="V139" s="174"/>
      <c r="W139" s="190"/>
      <c r="X139" s="5"/>
      <c r="Y139" s="5" t="s">
        <v>475</v>
      </c>
      <c r="Z139" s="161" t="s">
        <v>688</v>
      </c>
      <c r="AA139" s="5"/>
      <c r="AB139" s="285"/>
      <c r="AC139" s="30"/>
      <c r="AD139" s="10"/>
      <c r="AH139" s="21">
        <v>1</v>
      </c>
      <c r="AI139" s="21" t="s">
        <v>219</v>
      </c>
      <c r="AJ139" s="21" t="s">
        <v>160</v>
      </c>
      <c r="AL139" s="21" t="s">
        <v>33</v>
      </c>
      <c r="AM139" s="21" t="s">
        <v>241</v>
      </c>
      <c r="AP139" s="21" t="e">
        <v>#REF!</v>
      </c>
    </row>
    <row r="140" spans="1:42" ht="12" customHeight="1">
      <c r="A140" s="160">
        <f t="shared" si="4"/>
        <v>138</v>
      </c>
      <c r="B140" s="146" t="s">
        <v>477</v>
      </c>
      <c r="C140" s="160" t="s">
        <v>31</v>
      </c>
      <c r="D140" s="283"/>
      <c r="E140" s="5" t="s">
        <v>117</v>
      </c>
      <c r="F140" s="49" t="s">
        <v>520</v>
      </c>
      <c r="G140" s="35" t="s">
        <v>521</v>
      </c>
      <c r="H140" s="44" t="s">
        <v>492</v>
      </c>
      <c r="I140" s="45" t="s">
        <v>76</v>
      </c>
      <c r="J140" s="1" t="s">
        <v>492</v>
      </c>
      <c r="K140" s="4" t="s">
        <v>95</v>
      </c>
      <c r="L140" s="4" t="s">
        <v>27</v>
      </c>
      <c r="M140" s="4" t="s">
        <v>33</v>
      </c>
      <c r="N140" s="4" t="s">
        <v>27</v>
      </c>
      <c r="O140" s="4"/>
      <c r="P140" s="32"/>
      <c r="Q140" s="3"/>
      <c r="R140" s="4"/>
      <c r="S140" s="32"/>
      <c r="T140" s="180"/>
      <c r="U140" s="174"/>
      <c r="V140" s="174"/>
      <c r="W140" s="190"/>
      <c r="X140" s="5"/>
      <c r="Y140" s="5" t="s">
        <v>475</v>
      </c>
      <c r="Z140" s="161" t="s">
        <v>689</v>
      </c>
      <c r="AA140" s="5"/>
      <c r="AB140" s="286"/>
      <c r="AC140" s="30"/>
      <c r="AD140" s="10"/>
      <c r="AH140" s="21">
        <v>1</v>
      </c>
      <c r="AI140" s="21" t="s">
        <v>219</v>
      </c>
      <c r="AJ140" s="21" t="s">
        <v>163</v>
      </c>
      <c r="AL140" s="21" t="s">
        <v>33</v>
      </c>
      <c r="AM140" s="21" t="s">
        <v>242</v>
      </c>
      <c r="AP140" s="21" t="e">
        <v>#REF!</v>
      </c>
    </row>
    <row r="141" spans="1:42" ht="12" customHeight="1">
      <c r="A141" s="160">
        <f t="shared" si="4"/>
        <v>139</v>
      </c>
      <c r="B141" s="147"/>
      <c r="C141" s="124" t="s">
        <v>31</v>
      </c>
      <c r="D141" s="283"/>
      <c r="E141" s="11" t="s">
        <v>117</v>
      </c>
      <c r="F141" s="36" t="s">
        <v>83</v>
      </c>
      <c r="G141" s="99"/>
      <c r="H141" s="30"/>
      <c r="I141" s="31" t="s">
        <v>76</v>
      </c>
      <c r="J141" s="8"/>
      <c r="K141" s="10" t="s">
        <v>95</v>
      </c>
      <c r="L141" s="10" t="s">
        <v>27</v>
      </c>
      <c r="M141" s="10" t="s">
        <v>33</v>
      </c>
      <c r="N141" s="10" t="s">
        <v>27</v>
      </c>
      <c r="O141" s="10"/>
      <c r="P141" s="33"/>
      <c r="Q141" s="6"/>
      <c r="R141" s="10"/>
      <c r="S141" s="33"/>
      <c r="T141" s="181"/>
      <c r="U141" s="175"/>
      <c r="V141" s="175"/>
      <c r="W141" s="191"/>
      <c r="X141" s="11"/>
      <c r="Y141" s="11"/>
      <c r="Z141" s="162" t="s">
        <v>690</v>
      </c>
      <c r="AA141" s="11"/>
      <c r="AB141" s="286"/>
      <c r="AC141" s="30"/>
      <c r="AD141" s="10"/>
      <c r="AH141" s="21">
        <v>1</v>
      </c>
      <c r="AI141" s="21" t="s">
        <v>219</v>
      </c>
      <c r="AJ141" s="21" t="s">
        <v>166</v>
      </c>
      <c r="AL141" s="21" t="s">
        <v>33</v>
      </c>
      <c r="AM141" s="21" t="s">
        <v>243</v>
      </c>
      <c r="AP141" s="21" t="e">
        <v>#REF!</v>
      </c>
    </row>
    <row r="142" spans="1:42" s="38" customFormat="1" ht="12" customHeight="1">
      <c r="A142" s="160">
        <f t="shared" si="4"/>
        <v>140</v>
      </c>
      <c r="B142" s="147"/>
      <c r="C142" s="124" t="s">
        <v>31</v>
      </c>
      <c r="D142" s="283"/>
      <c r="E142" s="11" t="s">
        <v>117</v>
      </c>
      <c r="F142" s="36" t="s">
        <v>83</v>
      </c>
      <c r="G142" s="99"/>
      <c r="H142" s="30"/>
      <c r="I142" s="31" t="s">
        <v>76</v>
      </c>
      <c r="J142" s="8"/>
      <c r="K142" s="10" t="s">
        <v>95</v>
      </c>
      <c r="L142" s="10" t="s">
        <v>27</v>
      </c>
      <c r="M142" s="10" t="s">
        <v>33</v>
      </c>
      <c r="N142" s="10" t="s">
        <v>27</v>
      </c>
      <c r="O142" s="10"/>
      <c r="P142" s="33"/>
      <c r="Q142" s="6"/>
      <c r="R142" s="10"/>
      <c r="S142" s="33"/>
      <c r="T142" s="181"/>
      <c r="U142" s="175"/>
      <c r="V142" s="175"/>
      <c r="W142" s="191"/>
      <c r="X142" s="11"/>
      <c r="Y142" s="11"/>
      <c r="Z142" s="162" t="s">
        <v>691</v>
      </c>
      <c r="AA142" s="11"/>
      <c r="AB142" s="286"/>
      <c r="AC142" s="30"/>
      <c r="AD142" s="10"/>
      <c r="AH142" s="38">
        <v>1</v>
      </c>
      <c r="AI142" s="38" t="s">
        <v>219</v>
      </c>
      <c r="AJ142" s="38" t="s">
        <v>169</v>
      </c>
      <c r="AL142" s="38" t="s">
        <v>33</v>
      </c>
      <c r="AM142" s="38" t="s">
        <v>245</v>
      </c>
      <c r="AP142" s="38" t="e">
        <v>#REF!</v>
      </c>
    </row>
    <row r="143" spans="1:42" ht="12" customHeight="1">
      <c r="A143" s="160">
        <f t="shared" si="4"/>
        <v>141</v>
      </c>
      <c r="B143" s="135" t="s">
        <v>409</v>
      </c>
      <c r="C143" s="160" t="s">
        <v>31</v>
      </c>
      <c r="D143" s="283"/>
      <c r="E143" s="5" t="s">
        <v>117</v>
      </c>
      <c r="F143" s="49" t="s">
        <v>294</v>
      </c>
      <c r="G143" s="35" t="s">
        <v>295</v>
      </c>
      <c r="H143" s="44" t="s">
        <v>492</v>
      </c>
      <c r="I143" s="45" t="s">
        <v>76</v>
      </c>
      <c r="J143" s="1" t="s">
        <v>17</v>
      </c>
      <c r="K143" s="4" t="s">
        <v>95</v>
      </c>
      <c r="L143" s="4" t="s">
        <v>27</v>
      </c>
      <c r="M143" s="4" t="s">
        <v>33</v>
      </c>
      <c r="N143" s="4" t="s">
        <v>27</v>
      </c>
      <c r="O143" s="4"/>
      <c r="P143" s="32"/>
      <c r="Q143" s="3"/>
      <c r="R143" s="4"/>
      <c r="S143" s="32"/>
      <c r="T143" s="180"/>
      <c r="U143" s="174"/>
      <c r="V143" s="174"/>
      <c r="W143" s="190"/>
      <c r="X143" s="5" t="s">
        <v>459</v>
      </c>
      <c r="Y143" s="5" t="s">
        <v>460</v>
      </c>
      <c r="Z143" s="161" t="s">
        <v>692</v>
      </c>
      <c r="AA143" s="5"/>
      <c r="AB143" s="286"/>
      <c r="AC143" s="30"/>
      <c r="AD143" s="10"/>
      <c r="AH143" s="21">
        <v>1</v>
      </c>
      <c r="AI143" s="21" t="s">
        <v>219</v>
      </c>
      <c r="AJ143" s="21" t="s">
        <v>171</v>
      </c>
      <c r="AL143" s="21" t="s">
        <v>33</v>
      </c>
      <c r="AM143" s="21" t="s">
        <v>247</v>
      </c>
      <c r="AP143" s="21" t="e">
        <v>#REF!</v>
      </c>
    </row>
    <row r="144" spans="1:42" s="43" customFormat="1" ht="12" customHeight="1" thickBot="1">
      <c r="A144" s="160">
        <f t="shared" si="4"/>
        <v>142</v>
      </c>
      <c r="B144" s="134" t="s">
        <v>410</v>
      </c>
      <c r="C144" s="124" t="s">
        <v>31</v>
      </c>
      <c r="D144" s="283"/>
      <c r="E144" s="11" t="s">
        <v>117</v>
      </c>
      <c r="F144" s="36" t="s">
        <v>296</v>
      </c>
      <c r="G144" s="99" t="s">
        <v>295</v>
      </c>
      <c r="H144" s="30" t="s">
        <v>492</v>
      </c>
      <c r="I144" s="31" t="s">
        <v>76</v>
      </c>
      <c r="J144" s="8" t="s">
        <v>17</v>
      </c>
      <c r="K144" s="10" t="s">
        <v>95</v>
      </c>
      <c r="L144" s="10" t="s">
        <v>27</v>
      </c>
      <c r="M144" s="10" t="s">
        <v>33</v>
      </c>
      <c r="N144" s="10" t="s">
        <v>27</v>
      </c>
      <c r="O144" s="10"/>
      <c r="P144" s="33"/>
      <c r="Q144" s="6"/>
      <c r="R144" s="10"/>
      <c r="S144" s="33"/>
      <c r="T144" s="181"/>
      <c r="U144" s="175"/>
      <c r="V144" s="175"/>
      <c r="W144" s="191"/>
      <c r="X144" s="11" t="s">
        <v>459</v>
      </c>
      <c r="Y144" s="11" t="s">
        <v>460</v>
      </c>
      <c r="Z144" s="162" t="s">
        <v>693</v>
      </c>
      <c r="AA144" s="11"/>
      <c r="AB144" s="286"/>
      <c r="AC144" s="30"/>
      <c r="AD144" s="10"/>
      <c r="AH144" s="43">
        <v>1</v>
      </c>
      <c r="AI144" s="43" t="s">
        <v>219</v>
      </c>
      <c r="AJ144" s="43" t="s">
        <v>173</v>
      </c>
      <c r="AL144" s="43" t="s">
        <v>33</v>
      </c>
      <c r="AM144" s="43" t="s">
        <v>267</v>
      </c>
      <c r="AP144" s="43" t="e">
        <v>#REF!</v>
      </c>
    </row>
    <row r="145" spans="1:42" ht="12" customHeight="1">
      <c r="A145" s="160">
        <f t="shared" si="4"/>
        <v>143</v>
      </c>
      <c r="B145" s="135" t="s">
        <v>411</v>
      </c>
      <c r="C145" s="124" t="s">
        <v>31</v>
      </c>
      <c r="D145" s="283"/>
      <c r="E145" s="11" t="s">
        <v>117</v>
      </c>
      <c r="F145" s="36" t="s">
        <v>297</v>
      </c>
      <c r="G145" s="99" t="s">
        <v>295</v>
      </c>
      <c r="H145" s="30" t="s">
        <v>492</v>
      </c>
      <c r="I145" s="31" t="s">
        <v>76</v>
      </c>
      <c r="J145" s="8" t="s">
        <v>17</v>
      </c>
      <c r="K145" s="10" t="s">
        <v>95</v>
      </c>
      <c r="L145" s="10" t="s">
        <v>27</v>
      </c>
      <c r="M145" s="10" t="s">
        <v>33</v>
      </c>
      <c r="N145" s="10" t="s">
        <v>27</v>
      </c>
      <c r="O145" s="10"/>
      <c r="P145" s="33"/>
      <c r="Q145" s="6"/>
      <c r="R145" s="10"/>
      <c r="S145" s="33"/>
      <c r="T145" s="181"/>
      <c r="U145" s="175"/>
      <c r="V145" s="175"/>
      <c r="W145" s="191"/>
      <c r="X145" s="11" t="s">
        <v>459</v>
      </c>
      <c r="Y145" s="11" t="s">
        <v>460</v>
      </c>
      <c r="Z145" s="162" t="s">
        <v>694</v>
      </c>
      <c r="AA145" s="11"/>
      <c r="AB145" s="286"/>
      <c r="AC145" s="30"/>
      <c r="AD145" s="10"/>
      <c r="AH145" s="21">
        <v>1</v>
      </c>
      <c r="AI145" s="21" t="s">
        <v>219</v>
      </c>
      <c r="AJ145" s="21" t="s">
        <v>176</v>
      </c>
      <c r="AL145" s="21" t="s">
        <v>33</v>
      </c>
      <c r="AM145" s="21" t="s">
        <v>269</v>
      </c>
      <c r="AP145" s="21" t="e">
        <v>#REF!</v>
      </c>
    </row>
    <row r="146" spans="1:42" s="38" customFormat="1" ht="12" customHeight="1">
      <c r="A146" s="160">
        <f t="shared" si="4"/>
        <v>144</v>
      </c>
      <c r="B146" s="134" t="s">
        <v>412</v>
      </c>
      <c r="C146" s="124" t="s">
        <v>31</v>
      </c>
      <c r="D146" s="283"/>
      <c r="E146" s="11" t="s">
        <v>117</v>
      </c>
      <c r="F146" s="36" t="s">
        <v>298</v>
      </c>
      <c r="G146" s="99" t="s">
        <v>295</v>
      </c>
      <c r="H146" s="9" t="s">
        <v>492</v>
      </c>
      <c r="I146" s="31" t="s">
        <v>76</v>
      </c>
      <c r="J146" s="8" t="s">
        <v>17</v>
      </c>
      <c r="K146" s="10" t="s">
        <v>95</v>
      </c>
      <c r="L146" s="10" t="s">
        <v>27</v>
      </c>
      <c r="M146" s="10" t="s">
        <v>33</v>
      </c>
      <c r="N146" s="10" t="s">
        <v>27</v>
      </c>
      <c r="O146" s="10"/>
      <c r="P146" s="33"/>
      <c r="Q146" s="6"/>
      <c r="R146" s="10"/>
      <c r="S146" s="33"/>
      <c r="T146" s="181"/>
      <c r="U146" s="175"/>
      <c r="V146" s="175"/>
      <c r="W146" s="191"/>
      <c r="X146" s="11" t="s">
        <v>459</v>
      </c>
      <c r="Y146" s="11" t="s">
        <v>460</v>
      </c>
      <c r="Z146" s="162" t="s">
        <v>695</v>
      </c>
      <c r="AA146" s="11"/>
      <c r="AB146" s="287"/>
      <c r="AC146" s="30"/>
      <c r="AD146" s="10"/>
      <c r="AH146" s="38">
        <v>1</v>
      </c>
      <c r="AI146" s="38" t="s">
        <v>219</v>
      </c>
      <c r="AJ146" s="38" t="s">
        <v>188</v>
      </c>
      <c r="AL146" s="38" t="s">
        <v>33</v>
      </c>
      <c r="AM146" s="38" t="s">
        <v>270</v>
      </c>
      <c r="AP146" s="38" t="e">
        <f>IF(#REF!="","",LEFT(#REF!,FIND("-",#REF!)) &amp; IF(VALUE(MID(#REF!,FIND("-",#REF!)+1,4))&lt;1000,RIGHT("0000" &amp; MID(#REF!,FIND("-",#REF!)+1,4)+100,4),MID(#REF!,FIND("-",#REF!)+1,4)+1000))</f>
        <v>#REF!</v>
      </c>
    </row>
    <row r="147" spans="1:42" ht="12" customHeight="1">
      <c r="A147" s="160">
        <f t="shared" si="4"/>
        <v>145</v>
      </c>
      <c r="B147" s="135" t="s">
        <v>413</v>
      </c>
      <c r="C147" s="124" t="s">
        <v>31</v>
      </c>
      <c r="D147" s="283"/>
      <c r="E147" s="5" t="s">
        <v>117</v>
      </c>
      <c r="F147" s="36" t="s">
        <v>299</v>
      </c>
      <c r="G147" s="99" t="s">
        <v>295</v>
      </c>
      <c r="H147" s="30" t="s">
        <v>492</v>
      </c>
      <c r="I147" s="31" t="s">
        <v>76</v>
      </c>
      <c r="J147" s="8" t="s">
        <v>17</v>
      </c>
      <c r="K147" s="4"/>
      <c r="L147" s="4"/>
      <c r="M147" s="4"/>
      <c r="N147" s="4"/>
      <c r="O147" s="4"/>
      <c r="P147" s="32"/>
      <c r="Q147" s="3"/>
      <c r="R147" s="4"/>
      <c r="S147" s="32"/>
      <c r="T147" s="180"/>
      <c r="U147" s="174"/>
      <c r="V147" s="174"/>
      <c r="W147" s="190"/>
      <c r="X147" s="11" t="s">
        <v>459</v>
      </c>
      <c r="Y147" s="11" t="s">
        <v>460</v>
      </c>
      <c r="Z147" s="161" t="s">
        <v>696</v>
      </c>
      <c r="AA147" s="5"/>
      <c r="AB147" s="288"/>
      <c r="AC147" s="30"/>
      <c r="AD147" s="10"/>
      <c r="AH147" s="21">
        <v>1</v>
      </c>
      <c r="AI147" s="21" t="s">
        <v>219</v>
      </c>
      <c r="AJ147" s="21" t="s">
        <v>179</v>
      </c>
      <c r="AL147" s="21" t="s">
        <v>33</v>
      </c>
      <c r="AM147" s="21" t="s">
        <v>254</v>
      </c>
      <c r="AP147" s="21" t="e">
        <v>#REF!</v>
      </c>
    </row>
    <row r="148" spans="1:42" ht="12" customHeight="1">
      <c r="A148" s="160">
        <f t="shared" si="4"/>
        <v>146</v>
      </c>
      <c r="B148" s="134" t="s">
        <v>414</v>
      </c>
      <c r="C148" s="124" t="s">
        <v>31</v>
      </c>
      <c r="D148" s="283"/>
      <c r="E148" s="11" t="s">
        <v>117</v>
      </c>
      <c r="F148" s="36" t="s">
        <v>300</v>
      </c>
      <c r="G148" s="99" t="s">
        <v>295</v>
      </c>
      <c r="H148" s="30" t="s">
        <v>492</v>
      </c>
      <c r="I148" s="31" t="s">
        <v>76</v>
      </c>
      <c r="J148" s="8" t="s">
        <v>17</v>
      </c>
      <c r="K148" s="10"/>
      <c r="L148" s="10"/>
      <c r="M148" s="10"/>
      <c r="N148" s="10"/>
      <c r="O148" s="10"/>
      <c r="P148" s="33"/>
      <c r="Q148" s="6"/>
      <c r="R148" s="10"/>
      <c r="S148" s="33"/>
      <c r="T148" s="181"/>
      <c r="U148" s="175"/>
      <c r="V148" s="175"/>
      <c r="W148" s="191"/>
      <c r="X148" s="11" t="s">
        <v>459</v>
      </c>
      <c r="Y148" s="11" t="s">
        <v>460</v>
      </c>
      <c r="Z148" s="162" t="s">
        <v>697</v>
      </c>
      <c r="AA148" s="11"/>
      <c r="AB148" s="286"/>
      <c r="AC148" s="30"/>
      <c r="AD148" s="10"/>
      <c r="AH148" s="21">
        <v>1</v>
      </c>
      <c r="AI148" s="21" t="s">
        <v>219</v>
      </c>
      <c r="AJ148" s="21" t="s">
        <v>182</v>
      </c>
      <c r="AL148" s="21" t="s">
        <v>33</v>
      </c>
      <c r="AM148" s="21" t="s">
        <v>258</v>
      </c>
      <c r="AP148" s="21" t="e">
        <v>#REF!</v>
      </c>
    </row>
    <row r="149" spans="1:42" ht="12" customHeight="1">
      <c r="A149" s="160">
        <f t="shared" si="4"/>
        <v>147</v>
      </c>
      <c r="B149" s="135" t="s">
        <v>421</v>
      </c>
      <c r="C149" s="124" t="s">
        <v>31</v>
      </c>
      <c r="D149" s="283"/>
      <c r="E149" s="11" t="s">
        <v>117</v>
      </c>
      <c r="F149" s="36" t="s">
        <v>498</v>
      </c>
      <c r="G149" s="99" t="s">
        <v>295</v>
      </c>
      <c r="H149" s="9" t="s">
        <v>492</v>
      </c>
      <c r="I149" s="31" t="s">
        <v>76</v>
      </c>
      <c r="J149" s="8" t="s">
        <v>17</v>
      </c>
      <c r="K149" s="10"/>
      <c r="L149" s="10"/>
      <c r="M149" s="10"/>
      <c r="N149" s="10"/>
      <c r="O149" s="10"/>
      <c r="P149" s="33"/>
      <c r="Q149" s="6"/>
      <c r="R149" s="10"/>
      <c r="S149" s="33"/>
      <c r="T149" s="181"/>
      <c r="U149" s="175"/>
      <c r="V149" s="175"/>
      <c r="W149" s="191"/>
      <c r="X149" s="11" t="s">
        <v>456</v>
      </c>
      <c r="Y149" s="11"/>
      <c r="Z149" s="162" t="s">
        <v>698</v>
      </c>
      <c r="AA149" s="11"/>
      <c r="AB149" s="286"/>
      <c r="AC149" s="30"/>
      <c r="AD149" s="10"/>
      <c r="AH149" s="21">
        <v>1</v>
      </c>
      <c r="AI149" s="21" t="s">
        <v>219</v>
      </c>
      <c r="AJ149" s="21" t="s">
        <v>185</v>
      </c>
      <c r="AL149" s="21" t="s">
        <v>33</v>
      </c>
      <c r="AM149" s="21" t="s">
        <v>261</v>
      </c>
      <c r="AP14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0" spans="1:42" ht="12" customHeight="1">
      <c r="A150" s="160">
        <f t="shared" si="4"/>
        <v>148</v>
      </c>
      <c r="B150" s="134" t="s">
        <v>422</v>
      </c>
      <c r="C150" s="124" t="s">
        <v>31</v>
      </c>
      <c r="D150" s="283"/>
      <c r="E150" s="11" t="s">
        <v>117</v>
      </c>
      <c r="F150" s="36" t="s">
        <v>499</v>
      </c>
      <c r="G150" s="99" t="s">
        <v>295</v>
      </c>
      <c r="H150" s="30" t="s">
        <v>492</v>
      </c>
      <c r="I150" s="31" t="s">
        <v>76</v>
      </c>
      <c r="J150" s="8" t="s">
        <v>17</v>
      </c>
      <c r="K150" s="10"/>
      <c r="L150" s="10"/>
      <c r="M150" s="10"/>
      <c r="N150" s="10"/>
      <c r="O150" s="10"/>
      <c r="P150" s="33"/>
      <c r="Q150" s="6"/>
      <c r="R150" s="10"/>
      <c r="S150" s="33"/>
      <c r="T150" s="181"/>
      <c r="U150" s="175"/>
      <c r="V150" s="175"/>
      <c r="W150" s="191"/>
      <c r="X150" s="11"/>
      <c r="Y150" s="11" t="s">
        <v>458</v>
      </c>
      <c r="Z150" s="162" t="s">
        <v>699</v>
      </c>
      <c r="AA150" s="11"/>
      <c r="AB150" s="286"/>
      <c r="AC150" s="30"/>
      <c r="AD150" s="10"/>
      <c r="AH150" s="21">
        <v>1</v>
      </c>
      <c r="AI150" s="21" t="s">
        <v>219</v>
      </c>
      <c r="AJ150" s="21" t="s">
        <v>188</v>
      </c>
      <c r="AL150" s="21" t="s">
        <v>33</v>
      </c>
      <c r="AM150" s="21" t="s">
        <v>270</v>
      </c>
      <c r="AP15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1" spans="1:42" ht="12" customHeight="1">
      <c r="A151" s="160">
        <f t="shared" si="4"/>
        <v>149</v>
      </c>
      <c r="B151" s="135" t="s">
        <v>423</v>
      </c>
      <c r="C151" s="124" t="s">
        <v>31</v>
      </c>
      <c r="D151" s="283"/>
      <c r="E151" s="11" t="s">
        <v>117</v>
      </c>
      <c r="F151" s="36" t="s">
        <v>301</v>
      </c>
      <c r="G151" s="99" t="s">
        <v>295</v>
      </c>
      <c r="H151" s="9" t="s">
        <v>492</v>
      </c>
      <c r="I151" s="31" t="s">
        <v>76</v>
      </c>
      <c r="J151" s="8" t="s">
        <v>17</v>
      </c>
      <c r="K151" s="10"/>
      <c r="L151" s="10"/>
      <c r="M151" s="10"/>
      <c r="N151" s="10"/>
      <c r="O151" s="10"/>
      <c r="P151" s="33"/>
      <c r="Q151" s="6"/>
      <c r="R151" s="10"/>
      <c r="S151" s="33"/>
      <c r="T151" s="181"/>
      <c r="U151" s="175"/>
      <c r="V151" s="175"/>
      <c r="W151" s="191"/>
      <c r="X151" s="11" t="s">
        <v>459</v>
      </c>
      <c r="Y151" s="11" t="s">
        <v>460</v>
      </c>
      <c r="Z151" s="162" t="s">
        <v>700</v>
      </c>
      <c r="AA151" s="11"/>
      <c r="AB151" s="286"/>
      <c r="AC151" s="30"/>
      <c r="AD151" s="10"/>
      <c r="AH151" s="21">
        <v>1</v>
      </c>
      <c r="AI151" s="21" t="s">
        <v>219</v>
      </c>
      <c r="AJ151" s="21" t="s">
        <v>191</v>
      </c>
      <c r="AL151" s="21" t="s">
        <v>33</v>
      </c>
      <c r="AM151" s="21" t="s">
        <v>273</v>
      </c>
      <c r="AP15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2" spans="1:42" s="43" customFormat="1" ht="12" customHeight="1" thickBot="1">
      <c r="A152" s="160">
        <f t="shared" si="4"/>
        <v>150</v>
      </c>
      <c r="B152" s="134" t="s">
        <v>512</v>
      </c>
      <c r="C152" s="124" t="s">
        <v>31</v>
      </c>
      <c r="D152" s="283"/>
      <c r="E152" s="11" t="s">
        <v>117</v>
      </c>
      <c r="F152" s="36" t="s">
        <v>302</v>
      </c>
      <c r="G152" s="99" t="s">
        <v>295</v>
      </c>
      <c r="H152" s="30" t="s">
        <v>492</v>
      </c>
      <c r="I152" s="31" t="s">
        <v>76</v>
      </c>
      <c r="J152" s="8" t="s">
        <v>11</v>
      </c>
      <c r="K152" s="10"/>
      <c r="L152" s="10"/>
      <c r="M152" s="10"/>
      <c r="N152" s="10"/>
      <c r="O152" s="10"/>
      <c r="P152" s="33"/>
      <c r="Q152" s="6"/>
      <c r="R152" s="10"/>
      <c r="S152" s="33"/>
      <c r="T152" s="181"/>
      <c r="U152" s="175"/>
      <c r="V152" s="175"/>
      <c r="W152" s="191"/>
      <c r="X152" s="11" t="s">
        <v>474</v>
      </c>
      <c r="Y152" s="11" t="s">
        <v>473</v>
      </c>
      <c r="Z152" s="162" t="s">
        <v>701</v>
      </c>
      <c r="AA152" s="11"/>
      <c r="AB152" s="286"/>
      <c r="AC152" s="30"/>
      <c r="AD152" s="10"/>
      <c r="AH152" s="43">
        <v>1</v>
      </c>
      <c r="AI152" s="43" t="s">
        <v>219</v>
      </c>
      <c r="AJ152" s="43" t="s">
        <v>194</v>
      </c>
      <c r="AL152" s="43" t="s">
        <v>33</v>
      </c>
      <c r="AM152" s="43" t="s">
        <v>276</v>
      </c>
      <c r="AP152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53" spans="1:42" ht="12" customHeight="1">
      <c r="A153" s="160">
        <f t="shared" si="4"/>
        <v>151</v>
      </c>
      <c r="B153" s="134" t="s">
        <v>514</v>
      </c>
      <c r="C153" s="124" t="s">
        <v>31</v>
      </c>
      <c r="D153" s="283"/>
      <c r="E153" s="11" t="s">
        <v>117</v>
      </c>
      <c r="F153" s="36" t="s">
        <v>303</v>
      </c>
      <c r="G153" s="99" t="s">
        <v>295</v>
      </c>
      <c r="H153" s="30" t="s">
        <v>492</v>
      </c>
      <c r="I153" s="31" t="s">
        <v>76</v>
      </c>
      <c r="J153" s="8" t="s">
        <v>11</v>
      </c>
      <c r="K153" s="10" t="s">
        <v>95</v>
      </c>
      <c r="L153" s="10" t="s">
        <v>27</v>
      </c>
      <c r="M153" s="10" t="s">
        <v>33</v>
      </c>
      <c r="N153" s="10" t="s">
        <v>27</v>
      </c>
      <c r="O153" s="10"/>
      <c r="P153" s="33"/>
      <c r="Q153" s="6"/>
      <c r="R153" s="10"/>
      <c r="S153" s="33"/>
      <c r="T153" s="181"/>
      <c r="U153" s="175"/>
      <c r="V153" s="175"/>
      <c r="W153" s="191"/>
      <c r="X153" s="11" t="s">
        <v>474</v>
      </c>
      <c r="Y153" s="11" t="s">
        <v>473</v>
      </c>
      <c r="Z153" s="162" t="s">
        <v>702</v>
      </c>
      <c r="AA153" s="11"/>
      <c r="AB153" s="286"/>
      <c r="AC153" s="30"/>
      <c r="AD153" s="10"/>
      <c r="AH153" s="21">
        <v>1</v>
      </c>
      <c r="AI153" s="21" t="s">
        <v>219</v>
      </c>
      <c r="AJ153" s="21" t="s">
        <v>185</v>
      </c>
      <c r="AL153" s="21" t="s">
        <v>33</v>
      </c>
      <c r="AM153" s="21" t="s">
        <v>261</v>
      </c>
      <c r="AP15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4" spans="1:42" s="43" customFormat="1" ht="12" customHeight="1" thickBot="1">
      <c r="A154" s="160">
        <f t="shared" si="4"/>
        <v>152</v>
      </c>
      <c r="B154" s="143" t="s">
        <v>513</v>
      </c>
      <c r="C154" s="159" t="s">
        <v>31</v>
      </c>
      <c r="D154" s="284"/>
      <c r="E154" s="66" t="s">
        <v>117</v>
      </c>
      <c r="F154" s="138" t="s">
        <v>304</v>
      </c>
      <c r="G154" s="101" t="s">
        <v>295</v>
      </c>
      <c r="H154" s="98" t="s">
        <v>492</v>
      </c>
      <c r="I154" s="61" t="s">
        <v>76</v>
      </c>
      <c r="J154" s="97" t="s">
        <v>11</v>
      </c>
      <c r="K154" s="63" t="s">
        <v>95</v>
      </c>
      <c r="L154" s="63" t="s">
        <v>27</v>
      </c>
      <c r="M154" s="63" t="s">
        <v>33</v>
      </c>
      <c r="N154" s="63" t="s">
        <v>27</v>
      </c>
      <c r="O154" s="63"/>
      <c r="P154" s="65"/>
      <c r="Q154" s="64"/>
      <c r="R154" s="63"/>
      <c r="S154" s="65"/>
      <c r="T154" s="188"/>
      <c r="U154" s="178"/>
      <c r="V154" s="178"/>
      <c r="W154" s="194"/>
      <c r="X154" s="39" t="s">
        <v>474</v>
      </c>
      <c r="Y154" s="39" t="s">
        <v>473</v>
      </c>
      <c r="Z154" s="167" t="s">
        <v>703</v>
      </c>
      <c r="AA154" s="66"/>
      <c r="AB154" s="289"/>
      <c r="AC154" s="30"/>
      <c r="AD154" s="10"/>
      <c r="AH154" s="43">
        <v>1</v>
      </c>
      <c r="AI154" s="43" t="s">
        <v>219</v>
      </c>
      <c r="AJ154" s="43" t="s">
        <v>188</v>
      </c>
      <c r="AL154" s="43" t="s">
        <v>33</v>
      </c>
      <c r="AM154" s="43" t="s">
        <v>270</v>
      </c>
      <c r="AP154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55" spans="1:42" ht="12" customHeight="1">
      <c r="A155" s="160">
        <f t="shared" si="4"/>
        <v>153</v>
      </c>
      <c r="B155" s="135" t="s">
        <v>515</v>
      </c>
      <c r="C155" s="160" t="s">
        <v>31</v>
      </c>
      <c r="D155" s="283" t="s">
        <v>503</v>
      </c>
      <c r="E155" s="5" t="s">
        <v>117</v>
      </c>
      <c r="F155" s="49" t="s">
        <v>305</v>
      </c>
      <c r="G155" s="35" t="s">
        <v>295</v>
      </c>
      <c r="H155" s="44" t="s">
        <v>492</v>
      </c>
      <c r="I155" s="45" t="s">
        <v>76</v>
      </c>
      <c r="J155" s="1" t="s">
        <v>11</v>
      </c>
      <c r="K155" s="4" t="s">
        <v>95</v>
      </c>
      <c r="L155" s="4" t="s">
        <v>27</v>
      </c>
      <c r="M155" s="4" t="s">
        <v>33</v>
      </c>
      <c r="N155" s="4" t="s">
        <v>27</v>
      </c>
      <c r="O155" s="4"/>
      <c r="P155" s="32"/>
      <c r="Q155" s="3"/>
      <c r="R155" s="4"/>
      <c r="S155" s="32"/>
      <c r="T155" s="180"/>
      <c r="U155" s="174"/>
      <c r="V155" s="174"/>
      <c r="W155" s="190"/>
      <c r="X155" s="5" t="s">
        <v>474</v>
      </c>
      <c r="Y155" s="5" t="s">
        <v>473</v>
      </c>
      <c r="Z155" s="161" t="s">
        <v>704</v>
      </c>
      <c r="AA155" s="5"/>
      <c r="AH155" s="21">
        <v>1</v>
      </c>
      <c r="AI155" s="21" t="s">
        <v>219</v>
      </c>
      <c r="AJ155" s="21" t="s">
        <v>158</v>
      </c>
      <c r="AL155" s="21" t="s">
        <v>33</v>
      </c>
      <c r="AM155" s="21" t="s">
        <v>240</v>
      </c>
      <c r="AP15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6" spans="1:42" ht="12" customHeight="1">
      <c r="A156" s="160">
        <f t="shared" si="4"/>
        <v>154</v>
      </c>
      <c r="B156" s="134" t="s">
        <v>516</v>
      </c>
      <c r="C156" s="160" t="s">
        <v>31</v>
      </c>
      <c r="D156" s="283"/>
      <c r="E156" s="11" t="s">
        <v>117</v>
      </c>
      <c r="F156" s="49" t="s">
        <v>306</v>
      </c>
      <c r="G156" s="99" t="s">
        <v>295</v>
      </c>
      <c r="H156" s="44" t="s">
        <v>492</v>
      </c>
      <c r="I156" s="31" t="s">
        <v>76</v>
      </c>
      <c r="J156" s="1" t="s">
        <v>11</v>
      </c>
      <c r="K156" s="10" t="s">
        <v>95</v>
      </c>
      <c r="L156" s="10" t="s">
        <v>27</v>
      </c>
      <c r="M156" s="10" t="s">
        <v>33</v>
      </c>
      <c r="N156" s="10" t="s">
        <v>27</v>
      </c>
      <c r="O156" s="10"/>
      <c r="P156" s="33"/>
      <c r="Q156" s="6"/>
      <c r="R156" s="10"/>
      <c r="S156" s="33"/>
      <c r="T156" s="181"/>
      <c r="U156" s="175"/>
      <c r="V156" s="175"/>
      <c r="W156" s="191"/>
      <c r="X156" s="5" t="s">
        <v>476</v>
      </c>
      <c r="Y156" s="5" t="s">
        <v>470</v>
      </c>
      <c r="Z156" s="162" t="s">
        <v>705</v>
      </c>
      <c r="AA156" s="11"/>
      <c r="AH156" s="21">
        <v>1</v>
      </c>
      <c r="AI156" s="21" t="s">
        <v>219</v>
      </c>
      <c r="AJ156" s="21" t="s">
        <v>160</v>
      </c>
      <c r="AL156" s="21" t="s">
        <v>33</v>
      </c>
      <c r="AM156" s="21" t="s">
        <v>241</v>
      </c>
      <c r="AP156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7" spans="1:42" ht="12" customHeight="1">
      <c r="A157" s="160">
        <f t="shared" si="4"/>
        <v>155</v>
      </c>
      <c r="B157" s="134" t="s">
        <v>517</v>
      </c>
      <c r="C157" s="124" t="s">
        <v>31</v>
      </c>
      <c r="D157" s="283"/>
      <c r="E157" s="11" t="s">
        <v>117</v>
      </c>
      <c r="F157" s="36" t="s">
        <v>415</v>
      </c>
      <c r="G157" s="99" t="s">
        <v>295</v>
      </c>
      <c r="H157" s="30" t="s">
        <v>492</v>
      </c>
      <c r="I157" s="31" t="s">
        <v>76</v>
      </c>
      <c r="J157" s="8" t="s">
        <v>11</v>
      </c>
      <c r="K157" s="10"/>
      <c r="L157" s="10"/>
      <c r="M157" s="10"/>
      <c r="N157" s="10"/>
      <c r="O157" s="10"/>
      <c r="P157" s="33"/>
      <c r="Q157" s="6"/>
      <c r="R157" s="10"/>
      <c r="S157" s="33"/>
      <c r="T157" s="181"/>
      <c r="U157" s="175"/>
      <c r="V157" s="175"/>
      <c r="W157" s="191"/>
      <c r="X157" s="5" t="s">
        <v>476</v>
      </c>
      <c r="Y157" s="5" t="s">
        <v>470</v>
      </c>
      <c r="Z157" s="162" t="s">
        <v>706</v>
      </c>
      <c r="AA157" s="11" t="s">
        <v>542</v>
      </c>
      <c r="AH157" s="21">
        <v>1</v>
      </c>
      <c r="AI157" s="21" t="s">
        <v>219</v>
      </c>
      <c r="AJ157" s="21" t="s">
        <v>163</v>
      </c>
      <c r="AL157" s="21" t="s">
        <v>33</v>
      </c>
      <c r="AM157" s="21" t="s">
        <v>242</v>
      </c>
      <c r="AP157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8" spans="1:42" ht="12" customHeight="1">
      <c r="A158" s="160">
        <f t="shared" si="4"/>
        <v>156</v>
      </c>
      <c r="B158" s="134" t="s">
        <v>518</v>
      </c>
      <c r="C158" s="124" t="s">
        <v>31</v>
      </c>
      <c r="D158" s="283"/>
      <c r="E158" s="11" t="s">
        <v>117</v>
      </c>
      <c r="F158" s="36" t="s">
        <v>416</v>
      </c>
      <c r="G158" s="99" t="s">
        <v>295</v>
      </c>
      <c r="H158" s="30" t="s">
        <v>492</v>
      </c>
      <c r="I158" s="31" t="s">
        <v>76</v>
      </c>
      <c r="J158" s="8" t="s">
        <v>11</v>
      </c>
      <c r="K158" s="10"/>
      <c r="L158" s="10"/>
      <c r="M158" s="10"/>
      <c r="N158" s="10"/>
      <c r="O158" s="10"/>
      <c r="P158" s="33"/>
      <c r="Q158" s="6"/>
      <c r="R158" s="10"/>
      <c r="S158" s="33"/>
      <c r="T158" s="181"/>
      <c r="U158" s="175"/>
      <c r="V158" s="175"/>
      <c r="W158" s="191"/>
      <c r="X158" s="5" t="s">
        <v>476</v>
      </c>
      <c r="Y158" s="5" t="s">
        <v>470</v>
      </c>
      <c r="Z158" s="162" t="s">
        <v>707</v>
      </c>
      <c r="AA158" s="11" t="s">
        <v>542</v>
      </c>
      <c r="AH158" s="21">
        <v>1</v>
      </c>
      <c r="AI158" s="21" t="s">
        <v>219</v>
      </c>
      <c r="AJ158" s="21" t="s">
        <v>166</v>
      </c>
      <c r="AL158" s="21" t="s">
        <v>33</v>
      </c>
      <c r="AM158" s="21" t="s">
        <v>243</v>
      </c>
      <c r="AP15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59" spans="1:42" ht="12" customHeight="1">
      <c r="A159" s="160">
        <f t="shared" si="4"/>
        <v>157</v>
      </c>
      <c r="B159" s="134" t="s">
        <v>519</v>
      </c>
      <c r="C159" s="160" t="s">
        <v>31</v>
      </c>
      <c r="D159" s="283"/>
      <c r="E159" s="11" t="s">
        <v>117</v>
      </c>
      <c r="F159" s="36" t="s">
        <v>417</v>
      </c>
      <c r="G159" s="99" t="s">
        <v>295</v>
      </c>
      <c r="H159" s="44" t="s">
        <v>492</v>
      </c>
      <c r="I159" s="31" t="s">
        <v>76</v>
      </c>
      <c r="J159" s="1" t="s">
        <v>11</v>
      </c>
      <c r="K159" s="10"/>
      <c r="L159" s="10"/>
      <c r="M159" s="10"/>
      <c r="N159" s="10"/>
      <c r="O159" s="10"/>
      <c r="P159" s="33"/>
      <c r="Q159" s="6"/>
      <c r="R159" s="10"/>
      <c r="S159" s="33"/>
      <c r="T159" s="181"/>
      <c r="U159" s="175"/>
      <c r="V159" s="175"/>
      <c r="W159" s="191"/>
      <c r="X159" s="5" t="s">
        <v>476</v>
      </c>
      <c r="Y159" s="5" t="s">
        <v>470</v>
      </c>
      <c r="Z159" s="162" t="s">
        <v>708</v>
      </c>
      <c r="AA159" s="11" t="s">
        <v>542</v>
      </c>
      <c r="AH159" s="21">
        <v>1</v>
      </c>
      <c r="AI159" s="21" t="s">
        <v>219</v>
      </c>
      <c r="AJ159" s="21" t="s">
        <v>169</v>
      </c>
      <c r="AL159" s="21" t="s">
        <v>33</v>
      </c>
      <c r="AM159" s="21" t="s">
        <v>245</v>
      </c>
      <c r="AP15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60" spans="1:42" ht="12" customHeight="1">
      <c r="A160" s="160">
        <f t="shared" si="4"/>
        <v>158</v>
      </c>
      <c r="B160" s="134" t="s">
        <v>428</v>
      </c>
      <c r="C160" s="124" t="s">
        <v>31</v>
      </c>
      <c r="D160" s="283"/>
      <c r="E160" s="11" t="s">
        <v>117</v>
      </c>
      <c r="F160" s="36" t="s">
        <v>307</v>
      </c>
      <c r="G160" s="99" t="s">
        <v>295</v>
      </c>
      <c r="H160" s="30" t="s">
        <v>492</v>
      </c>
      <c r="I160" s="31" t="s">
        <v>76</v>
      </c>
      <c r="J160" s="8" t="s">
        <v>13</v>
      </c>
      <c r="K160" s="10" t="s">
        <v>95</v>
      </c>
      <c r="L160" s="10" t="s">
        <v>27</v>
      </c>
      <c r="M160" s="10" t="s">
        <v>33</v>
      </c>
      <c r="N160" s="10" t="s">
        <v>27</v>
      </c>
      <c r="O160" s="10"/>
      <c r="P160" s="33"/>
      <c r="Q160" s="6"/>
      <c r="R160" s="10"/>
      <c r="S160" s="33"/>
      <c r="T160" s="181"/>
      <c r="U160" s="175"/>
      <c r="V160" s="175"/>
      <c r="W160" s="191"/>
      <c r="X160" s="11" t="s">
        <v>455</v>
      </c>
      <c r="Y160" s="11" t="s">
        <v>457</v>
      </c>
      <c r="Z160" s="162" t="s">
        <v>709</v>
      </c>
      <c r="AA160" s="11"/>
      <c r="AB160" s="288"/>
      <c r="AC160" s="30"/>
      <c r="AD160" s="10"/>
      <c r="AH160" s="21">
        <v>1</v>
      </c>
      <c r="AI160" s="21" t="s">
        <v>219</v>
      </c>
      <c r="AJ160" s="21" t="s">
        <v>171</v>
      </c>
      <c r="AL160" s="21" t="s">
        <v>33</v>
      </c>
      <c r="AM160" s="21" t="s">
        <v>247</v>
      </c>
      <c r="AP160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61" spans="1:42" ht="12" customHeight="1">
      <c r="A161" s="160">
        <f t="shared" si="4"/>
        <v>159</v>
      </c>
      <c r="B161" s="135" t="s">
        <v>429</v>
      </c>
      <c r="C161" s="124" t="s">
        <v>31</v>
      </c>
      <c r="D161" s="283"/>
      <c r="E161" s="11" t="s">
        <v>117</v>
      </c>
      <c r="F161" s="36" t="s">
        <v>308</v>
      </c>
      <c r="G161" s="99" t="s">
        <v>295</v>
      </c>
      <c r="H161" s="30" t="s">
        <v>492</v>
      </c>
      <c r="I161" s="31" t="s">
        <v>76</v>
      </c>
      <c r="J161" s="8" t="s">
        <v>13</v>
      </c>
      <c r="K161" s="10" t="s">
        <v>95</v>
      </c>
      <c r="L161" s="10" t="s">
        <v>27</v>
      </c>
      <c r="M161" s="10" t="s">
        <v>33</v>
      </c>
      <c r="N161" s="10" t="s">
        <v>27</v>
      </c>
      <c r="O161" s="10"/>
      <c r="P161" s="33"/>
      <c r="Q161" s="6"/>
      <c r="R161" s="10"/>
      <c r="S161" s="33"/>
      <c r="T161" s="181"/>
      <c r="U161" s="175"/>
      <c r="V161" s="175"/>
      <c r="W161" s="191"/>
      <c r="X161" s="11" t="s">
        <v>454</v>
      </c>
      <c r="Y161" s="11" t="s">
        <v>457</v>
      </c>
      <c r="Z161" s="162" t="s">
        <v>710</v>
      </c>
      <c r="AA161" s="11"/>
      <c r="AB161" s="286"/>
      <c r="AC161" s="30"/>
      <c r="AD161" s="10"/>
      <c r="AH161" s="21">
        <v>1</v>
      </c>
      <c r="AI161" s="21" t="s">
        <v>219</v>
      </c>
      <c r="AJ161" s="21" t="s">
        <v>160</v>
      </c>
      <c r="AL161" s="21" t="s">
        <v>33</v>
      </c>
      <c r="AM161" s="21" t="s">
        <v>241</v>
      </c>
      <c r="AP16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62" spans="1:42" ht="12" customHeight="1">
      <c r="A162" s="160">
        <f t="shared" si="4"/>
        <v>160</v>
      </c>
      <c r="B162" s="134" t="s">
        <v>430</v>
      </c>
      <c r="C162" s="124" t="s">
        <v>31</v>
      </c>
      <c r="D162" s="283"/>
      <c r="E162" s="11" t="s">
        <v>117</v>
      </c>
      <c r="F162" s="142" t="s">
        <v>309</v>
      </c>
      <c r="G162" s="99" t="s">
        <v>295</v>
      </c>
      <c r="H162" s="30" t="s">
        <v>492</v>
      </c>
      <c r="I162" s="31" t="s">
        <v>76</v>
      </c>
      <c r="J162" s="8" t="s">
        <v>492</v>
      </c>
      <c r="K162" s="10"/>
      <c r="L162" s="10"/>
      <c r="M162" s="10"/>
      <c r="N162" s="10"/>
      <c r="O162" s="10"/>
      <c r="P162" s="33"/>
      <c r="Q162" s="6"/>
      <c r="R162" s="10"/>
      <c r="S162" s="33"/>
      <c r="T162" s="181"/>
      <c r="U162" s="175"/>
      <c r="V162" s="175"/>
      <c r="W162" s="191"/>
      <c r="X162" s="11" t="s">
        <v>459</v>
      </c>
      <c r="Y162" s="11" t="s">
        <v>460</v>
      </c>
      <c r="Z162" s="162" t="s">
        <v>711</v>
      </c>
      <c r="AA162" s="11"/>
      <c r="AB162" s="286"/>
      <c r="AC162" s="30"/>
      <c r="AD162" s="10"/>
      <c r="AH162" s="21">
        <v>1</v>
      </c>
      <c r="AI162" s="21" t="s">
        <v>219</v>
      </c>
      <c r="AJ162" s="21" t="s">
        <v>163</v>
      </c>
      <c r="AL162" s="21" t="s">
        <v>33</v>
      </c>
      <c r="AM162" s="21" t="s">
        <v>242</v>
      </c>
      <c r="AP162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63" spans="1:42" ht="12" customHeight="1">
      <c r="A163" s="160">
        <f t="shared" si="4"/>
        <v>161</v>
      </c>
      <c r="B163" s="135" t="s">
        <v>431</v>
      </c>
      <c r="C163" s="124" t="s">
        <v>31</v>
      </c>
      <c r="D163" s="283"/>
      <c r="E163" s="11" t="s">
        <v>117</v>
      </c>
      <c r="F163" s="36" t="s">
        <v>310</v>
      </c>
      <c r="G163" s="99" t="s">
        <v>295</v>
      </c>
      <c r="H163" s="30" t="s">
        <v>492</v>
      </c>
      <c r="I163" s="31" t="s">
        <v>76</v>
      </c>
      <c r="J163" s="8" t="s">
        <v>13</v>
      </c>
      <c r="K163" s="10"/>
      <c r="L163" s="10"/>
      <c r="M163" s="10"/>
      <c r="N163" s="10"/>
      <c r="O163" s="10"/>
      <c r="P163" s="33"/>
      <c r="Q163" s="6"/>
      <c r="R163" s="10"/>
      <c r="S163" s="33"/>
      <c r="T163" s="181"/>
      <c r="U163" s="175"/>
      <c r="V163" s="175"/>
      <c r="W163" s="191"/>
      <c r="X163" s="11"/>
      <c r="Y163" s="11" t="s">
        <v>477</v>
      </c>
      <c r="Z163" s="162" t="s">
        <v>712</v>
      </c>
      <c r="AA163" s="11"/>
      <c r="AB163" s="286"/>
      <c r="AC163" s="30"/>
      <c r="AD163" s="10"/>
      <c r="AH163" s="21">
        <v>1</v>
      </c>
      <c r="AI163" s="21" t="s">
        <v>219</v>
      </c>
      <c r="AJ163" s="21" t="s">
        <v>166</v>
      </c>
      <c r="AL163" s="21" t="s">
        <v>33</v>
      </c>
      <c r="AM163" s="21" t="s">
        <v>243</v>
      </c>
      <c r="AP16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64" spans="1:42" ht="12" customHeight="1">
      <c r="A164" s="160">
        <f t="shared" si="4"/>
        <v>162</v>
      </c>
      <c r="B164" s="135" t="s">
        <v>497</v>
      </c>
      <c r="C164" s="124" t="s">
        <v>31</v>
      </c>
      <c r="D164" s="283"/>
      <c r="E164" s="11" t="s">
        <v>117</v>
      </c>
      <c r="F164" s="36" t="s">
        <v>436</v>
      </c>
      <c r="G164" s="99" t="s">
        <v>295</v>
      </c>
      <c r="H164" s="30" t="s">
        <v>492</v>
      </c>
      <c r="I164" s="31" t="s">
        <v>76</v>
      </c>
      <c r="J164" s="8" t="s">
        <v>13</v>
      </c>
      <c r="K164" s="10"/>
      <c r="L164" s="10"/>
      <c r="M164" s="10"/>
      <c r="N164" s="10"/>
      <c r="O164" s="10"/>
      <c r="P164" s="33"/>
      <c r="Q164" s="6"/>
      <c r="R164" s="10"/>
      <c r="S164" s="33"/>
      <c r="T164" s="181"/>
      <c r="U164" s="175"/>
      <c r="V164" s="175"/>
      <c r="W164" s="191"/>
      <c r="X164" s="11" t="s">
        <v>454</v>
      </c>
      <c r="Y164" s="11" t="s">
        <v>457</v>
      </c>
      <c r="Z164" s="162" t="s">
        <v>713</v>
      </c>
      <c r="AA164" s="11"/>
      <c r="AB164" s="287"/>
      <c r="AC164" s="30"/>
      <c r="AD164" s="10"/>
      <c r="AH164" s="21">
        <v>1</v>
      </c>
      <c r="AI164" s="21" t="s">
        <v>219</v>
      </c>
      <c r="AJ164" s="21" t="s">
        <v>169</v>
      </c>
      <c r="AL164" s="21" t="s">
        <v>33</v>
      </c>
      <c r="AM164" s="21" t="s">
        <v>245</v>
      </c>
      <c r="AP164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65" spans="1:42" ht="12" customHeight="1">
      <c r="A165" s="160">
        <f t="shared" si="4"/>
        <v>163</v>
      </c>
      <c r="B165" s="134"/>
      <c r="C165" s="124" t="s">
        <v>31</v>
      </c>
      <c r="D165" s="283"/>
      <c r="E165" s="11" t="s">
        <v>117</v>
      </c>
      <c r="F165" s="36" t="s">
        <v>83</v>
      </c>
      <c r="G165" s="99"/>
      <c r="H165" s="30"/>
      <c r="I165" s="31"/>
      <c r="J165" s="8"/>
      <c r="K165" s="10" t="s">
        <v>95</v>
      </c>
      <c r="L165" s="10" t="s">
        <v>27</v>
      </c>
      <c r="M165" s="10" t="s">
        <v>33</v>
      </c>
      <c r="N165" s="10" t="s">
        <v>27</v>
      </c>
      <c r="O165" s="10"/>
      <c r="P165" s="33"/>
      <c r="Q165" s="6"/>
      <c r="R165" s="10"/>
      <c r="S165" s="33"/>
      <c r="T165" s="181"/>
      <c r="U165" s="175"/>
      <c r="V165" s="175"/>
      <c r="W165" s="191"/>
      <c r="X165" s="11"/>
      <c r="Y165" s="11"/>
      <c r="Z165" s="162" t="s">
        <v>714</v>
      </c>
      <c r="AA165" s="11"/>
      <c r="AB165" s="288"/>
      <c r="AC165" s="30"/>
      <c r="AD165" s="10"/>
      <c r="AH165" s="21">
        <v>1</v>
      </c>
      <c r="AI165" s="21" t="s">
        <v>219</v>
      </c>
      <c r="AJ165" s="21" t="s">
        <v>179</v>
      </c>
      <c r="AL165" s="21" t="s">
        <v>33</v>
      </c>
      <c r="AM165" s="21" t="s">
        <v>254</v>
      </c>
      <c r="AP165" s="21" t="e">
        <v>#REF!</v>
      </c>
    </row>
    <row r="166" spans="1:42" ht="12" customHeight="1">
      <c r="A166" s="160">
        <f t="shared" si="4"/>
        <v>164</v>
      </c>
      <c r="B166" s="134"/>
      <c r="C166" s="160" t="s">
        <v>31</v>
      </c>
      <c r="D166" s="283"/>
      <c r="E166" s="11" t="s">
        <v>117</v>
      </c>
      <c r="F166" s="36" t="s">
        <v>83</v>
      </c>
      <c r="G166" s="99"/>
      <c r="H166" s="30"/>
      <c r="I166" s="31"/>
      <c r="J166" s="8"/>
      <c r="K166" s="10" t="s">
        <v>95</v>
      </c>
      <c r="L166" s="10" t="s">
        <v>27</v>
      </c>
      <c r="M166" s="10" t="s">
        <v>33</v>
      </c>
      <c r="N166" s="10" t="s">
        <v>27</v>
      </c>
      <c r="O166" s="10"/>
      <c r="P166" s="33"/>
      <c r="Q166" s="6"/>
      <c r="R166" s="10"/>
      <c r="S166" s="33"/>
      <c r="T166" s="181"/>
      <c r="U166" s="175"/>
      <c r="V166" s="175"/>
      <c r="W166" s="191"/>
      <c r="X166" s="11"/>
      <c r="Y166" s="11"/>
      <c r="Z166" s="162" t="s">
        <v>715</v>
      </c>
      <c r="AA166" s="11"/>
      <c r="AB166" s="286"/>
      <c r="AC166" s="30"/>
      <c r="AD166" s="10"/>
      <c r="AH166" s="21">
        <v>1</v>
      </c>
      <c r="AI166" s="21" t="s">
        <v>219</v>
      </c>
      <c r="AJ166" s="21" t="s">
        <v>179</v>
      </c>
      <c r="AL166" s="21" t="s">
        <v>33</v>
      </c>
      <c r="AM166" s="21" t="s">
        <v>254</v>
      </c>
      <c r="AP166" s="21" t="e">
        <v>#REF!</v>
      </c>
    </row>
    <row r="167" spans="1:42" ht="12" customHeight="1">
      <c r="A167" s="160">
        <f t="shared" si="4"/>
        <v>165</v>
      </c>
      <c r="B167" s="134"/>
      <c r="C167" s="124" t="s">
        <v>31</v>
      </c>
      <c r="D167" s="283"/>
      <c r="E167" s="11" t="s">
        <v>117</v>
      </c>
      <c r="F167" s="36" t="s">
        <v>83</v>
      </c>
      <c r="G167" s="99"/>
      <c r="H167" s="30"/>
      <c r="I167" s="31"/>
      <c r="J167" s="8"/>
      <c r="K167" s="10"/>
      <c r="L167" s="10"/>
      <c r="M167" s="10"/>
      <c r="N167" s="10"/>
      <c r="O167" s="10"/>
      <c r="P167" s="33"/>
      <c r="Q167" s="6"/>
      <c r="R167" s="10"/>
      <c r="S167" s="33"/>
      <c r="T167" s="181"/>
      <c r="U167" s="175"/>
      <c r="V167" s="175"/>
      <c r="W167" s="191"/>
      <c r="X167" s="11"/>
      <c r="Y167" s="11"/>
      <c r="Z167" s="162" t="s">
        <v>716</v>
      </c>
      <c r="AA167" s="11"/>
      <c r="AB167" s="286"/>
      <c r="AC167" s="30"/>
      <c r="AD167" s="10"/>
      <c r="AH167" s="21">
        <v>1</v>
      </c>
      <c r="AI167" s="21" t="s">
        <v>219</v>
      </c>
      <c r="AJ167" s="21" t="s">
        <v>182</v>
      </c>
      <c r="AL167" s="21" t="s">
        <v>33</v>
      </c>
      <c r="AM167" s="21" t="s">
        <v>258</v>
      </c>
      <c r="AP167" s="21" t="e">
        <v>#REF!</v>
      </c>
    </row>
    <row r="168" spans="1:42" ht="12" customHeight="1">
      <c r="A168" s="160">
        <f t="shared" si="4"/>
        <v>166</v>
      </c>
      <c r="B168" s="134"/>
      <c r="C168" s="124" t="s">
        <v>31</v>
      </c>
      <c r="D168" s="283"/>
      <c r="E168" s="11" t="s">
        <v>117</v>
      </c>
      <c r="F168" s="36" t="s">
        <v>83</v>
      </c>
      <c r="G168" s="99"/>
      <c r="H168" s="30"/>
      <c r="I168" s="31"/>
      <c r="J168" s="8"/>
      <c r="K168" s="10"/>
      <c r="L168" s="10"/>
      <c r="M168" s="10"/>
      <c r="N168" s="10"/>
      <c r="O168" s="10"/>
      <c r="P168" s="33"/>
      <c r="Q168" s="6"/>
      <c r="R168" s="10"/>
      <c r="S168" s="33"/>
      <c r="T168" s="181"/>
      <c r="U168" s="175"/>
      <c r="V168" s="175"/>
      <c r="W168" s="191"/>
      <c r="X168" s="11"/>
      <c r="Y168" s="11"/>
      <c r="Z168" s="162" t="s">
        <v>717</v>
      </c>
      <c r="AA168" s="11"/>
      <c r="AB168" s="286"/>
      <c r="AC168" s="30"/>
      <c r="AD168" s="10"/>
      <c r="AH168" s="21">
        <v>1</v>
      </c>
      <c r="AI168" s="21" t="s">
        <v>219</v>
      </c>
      <c r="AJ168" s="21" t="s">
        <v>179</v>
      </c>
      <c r="AL168" s="21" t="s">
        <v>33</v>
      </c>
      <c r="AM168" s="21" t="s">
        <v>254</v>
      </c>
      <c r="AP168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69" spans="1:42" ht="12" customHeight="1">
      <c r="A169" s="160">
        <f t="shared" si="4"/>
        <v>167</v>
      </c>
      <c r="B169" s="134"/>
      <c r="C169" s="124" t="s">
        <v>31</v>
      </c>
      <c r="D169" s="283"/>
      <c r="E169" s="11" t="s">
        <v>117</v>
      </c>
      <c r="F169" s="36" t="s">
        <v>83</v>
      </c>
      <c r="G169" s="99"/>
      <c r="H169" s="30"/>
      <c r="I169" s="31"/>
      <c r="J169" s="8"/>
      <c r="K169" s="10"/>
      <c r="L169" s="10"/>
      <c r="M169" s="10"/>
      <c r="N169" s="10"/>
      <c r="O169" s="10"/>
      <c r="P169" s="33"/>
      <c r="Q169" s="6"/>
      <c r="R169" s="10"/>
      <c r="S169" s="33"/>
      <c r="T169" s="181"/>
      <c r="U169" s="175"/>
      <c r="V169" s="175"/>
      <c r="W169" s="191"/>
      <c r="X169" s="11"/>
      <c r="Y169" s="11"/>
      <c r="Z169" s="162" t="s">
        <v>718</v>
      </c>
      <c r="AA169" s="11"/>
      <c r="AB169" s="287"/>
      <c r="AC169" s="30"/>
      <c r="AD169" s="10"/>
      <c r="AH169" s="21">
        <v>1</v>
      </c>
      <c r="AI169" s="21" t="s">
        <v>219</v>
      </c>
      <c r="AJ169" s="21" t="s">
        <v>182</v>
      </c>
      <c r="AL169" s="21" t="s">
        <v>33</v>
      </c>
      <c r="AM169" s="21" t="s">
        <v>258</v>
      </c>
      <c r="AP169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70" spans="1:42" s="43" customFormat="1" ht="12" customHeight="1" thickBot="1">
      <c r="A170" s="160">
        <f t="shared" si="4"/>
        <v>168</v>
      </c>
      <c r="B170" s="143"/>
      <c r="C170" s="100" t="s">
        <v>31</v>
      </c>
      <c r="D170" s="284"/>
      <c r="E170" s="66" t="s">
        <v>117</v>
      </c>
      <c r="F170" s="138" t="s">
        <v>83</v>
      </c>
      <c r="G170" s="101"/>
      <c r="H170" s="60"/>
      <c r="I170" s="61"/>
      <c r="J170" s="62"/>
      <c r="K170" s="63" t="s">
        <v>95</v>
      </c>
      <c r="L170" s="63" t="s">
        <v>27</v>
      </c>
      <c r="M170" s="63" t="s">
        <v>33</v>
      </c>
      <c r="N170" s="63" t="s">
        <v>27</v>
      </c>
      <c r="O170" s="63"/>
      <c r="P170" s="65"/>
      <c r="Q170" s="64"/>
      <c r="R170" s="63"/>
      <c r="S170" s="65"/>
      <c r="T170" s="188"/>
      <c r="U170" s="178"/>
      <c r="V170" s="178"/>
      <c r="W170" s="194"/>
      <c r="X170" s="66"/>
      <c r="Y170" s="66"/>
      <c r="Z170" s="167" t="s">
        <v>719</v>
      </c>
      <c r="AA170" s="66"/>
      <c r="AB170" s="98"/>
      <c r="AC170" s="30"/>
      <c r="AD170" s="10"/>
      <c r="AH170" s="43">
        <v>1</v>
      </c>
      <c r="AI170" s="43" t="s">
        <v>219</v>
      </c>
      <c r="AJ170" s="43" t="s">
        <v>185</v>
      </c>
      <c r="AL170" s="43" t="s">
        <v>33</v>
      </c>
      <c r="AM170" s="43" t="s">
        <v>261</v>
      </c>
      <c r="AP170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71" spans="1:42" ht="12" customHeight="1">
      <c r="A171" s="160">
        <f t="shared" si="4"/>
        <v>169</v>
      </c>
      <c r="B171" s="135"/>
      <c r="C171" s="160" t="s">
        <v>31</v>
      </c>
      <c r="D171" s="283" t="s">
        <v>504</v>
      </c>
      <c r="E171" s="5" t="s">
        <v>117</v>
      </c>
      <c r="F171" s="49" t="s">
        <v>83</v>
      </c>
      <c r="G171" s="35"/>
      <c r="H171" s="44"/>
      <c r="I171" s="45"/>
      <c r="J171" s="1"/>
      <c r="K171" s="4" t="s">
        <v>95</v>
      </c>
      <c r="L171" s="4" t="s">
        <v>27</v>
      </c>
      <c r="M171" s="4" t="s">
        <v>33</v>
      </c>
      <c r="N171" s="4" t="s">
        <v>27</v>
      </c>
      <c r="O171" s="4"/>
      <c r="P171" s="32"/>
      <c r="Q171" s="3"/>
      <c r="R171" s="4"/>
      <c r="S171" s="32"/>
      <c r="T171" s="180"/>
      <c r="U171" s="174"/>
      <c r="V171" s="174"/>
      <c r="W171" s="190"/>
      <c r="X171" s="5"/>
      <c r="Y171" s="5"/>
      <c r="Z171" s="161" t="s">
        <v>720</v>
      </c>
      <c r="AA171" s="5"/>
      <c r="AB171" s="285"/>
      <c r="AC171" s="30"/>
      <c r="AD171" s="10"/>
      <c r="AH171" s="21">
        <v>1</v>
      </c>
      <c r="AI171" s="21" t="s">
        <v>219</v>
      </c>
      <c r="AJ171" s="21" t="s">
        <v>160</v>
      </c>
      <c r="AL171" s="21" t="s">
        <v>33</v>
      </c>
      <c r="AM171" s="21" t="s">
        <v>241</v>
      </c>
      <c r="AP171" s="21" t="e">
        <v>#REF!</v>
      </c>
    </row>
    <row r="172" spans="1:42" ht="12" customHeight="1">
      <c r="A172" s="160">
        <f t="shared" si="4"/>
        <v>170</v>
      </c>
      <c r="B172" s="134"/>
      <c r="C172" s="124" t="s">
        <v>31</v>
      </c>
      <c r="D172" s="283"/>
      <c r="E172" s="11" t="s">
        <v>117</v>
      </c>
      <c r="F172" s="36" t="s">
        <v>83</v>
      </c>
      <c r="G172" s="99"/>
      <c r="H172" s="30"/>
      <c r="I172" s="31"/>
      <c r="J172" s="8"/>
      <c r="K172" s="10" t="s">
        <v>95</v>
      </c>
      <c r="L172" s="10" t="s">
        <v>27</v>
      </c>
      <c r="M172" s="10" t="s">
        <v>33</v>
      </c>
      <c r="N172" s="10" t="s">
        <v>27</v>
      </c>
      <c r="O172" s="10"/>
      <c r="P172" s="33"/>
      <c r="Q172" s="6"/>
      <c r="R172" s="10"/>
      <c r="S172" s="33"/>
      <c r="T172" s="181"/>
      <c r="U172" s="175"/>
      <c r="V172" s="175"/>
      <c r="W172" s="191"/>
      <c r="X172" s="11"/>
      <c r="Y172" s="11"/>
      <c r="Z172" s="162" t="s">
        <v>721</v>
      </c>
      <c r="AA172" s="11"/>
      <c r="AB172" s="286"/>
      <c r="AC172" s="30"/>
      <c r="AD172" s="10"/>
      <c r="AH172" s="21">
        <v>1</v>
      </c>
      <c r="AI172" s="21" t="s">
        <v>219</v>
      </c>
      <c r="AJ172" s="21" t="s">
        <v>163</v>
      </c>
      <c r="AL172" s="21" t="s">
        <v>33</v>
      </c>
      <c r="AM172" s="21" t="s">
        <v>242</v>
      </c>
      <c r="AP172" s="21" t="e">
        <v>#REF!</v>
      </c>
    </row>
    <row r="173" spans="1:42" ht="12" customHeight="1">
      <c r="A173" s="160">
        <f t="shared" si="4"/>
        <v>171</v>
      </c>
      <c r="B173" s="134"/>
      <c r="C173" s="124" t="s">
        <v>31</v>
      </c>
      <c r="D173" s="283"/>
      <c r="E173" s="11" t="s">
        <v>117</v>
      </c>
      <c r="F173" s="36" t="s">
        <v>83</v>
      </c>
      <c r="G173" s="99"/>
      <c r="H173" s="30"/>
      <c r="I173" s="31"/>
      <c r="J173" s="8"/>
      <c r="K173" s="10" t="s">
        <v>95</v>
      </c>
      <c r="L173" s="10" t="s">
        <v>27</v>
      </c>
      <c r="M173" s="10" t="s">
        <v>33</v>
      </c>
      <c r="N173" s="10" t="s">
        <v>27</v>
      </c>
      <c r="O173" s="10"/>
      <c r="P173" s="33"/>
      <c r="Q173" s="6"/>
      <c r="R173" s="10"/>
      <c r="S173" s="33"/>
      <c r="T173" s="181"/>
      <c r="U173" s="175"/>
      <c r="V173" s="175"/>
      <c r="W173" s="191"/>
      <c r="X173" s="11"/>
      <c r="Y173" s="11"/>
      <c r="Z173" s="162" t="s">
        <v>722</v>
      </c>
      <c r="AA173" s="11"/>
      <c r="AB173" s="286"/>
      <c r="AC173" s="30"/>
      <c r="AD173" s="10"/>
      <c r="AH173" s="21">
        <v>1</v>
      </c>
      <c r="AI173" s="21" t="s">
        <v>219</v>
      </c>
      <c r="AJ173" s="21" t="s">
        <v>166</v>
      </c>
      <c r="AL173" s="21" t="s">
        <v>33</v>
      </c>
      <c r="AM173" s="21" t="s">
        <v>243</v>
      </c>
      <c r="AP173" s="21" t="e">
        <v>#REF!</v>
      </c>
    </row>
    <row r="174" spans="1:42" ht="12" customHeight="1">
      <c r="A174" s="160">
        <f t="shared" si="4"/>
        <v>172</v>
      </c>
      <c r="B174" s="134"/>
      <c r="C174" s="124" t="s">
        <v>31</v>
      </c>
      <c r="D174" s="283"/>
      <c r="E174" s="11" t="s">
        <v>117</v>
      </c>
      <c r="F174" s="36" t="s">
        <v>83</v>
      </c>
      <c r="G174" s="99"/>
      <c r="H174" s="30"/>
      <c r="I174" s="31"/>
      <c r="J174" s="8"/>
      <c r="K174" s="10" t="s">
        <v>95</v>
      </c>
      <c r="L174" s="10" t="s">
        <v>27</v>
      </c>
      <c r="M174" s="10" t="s">
        <v>33</v>
      </c>
      <c r="N174" s="10" t="s">
        <v>27</v>
      </c>
      <c r="O174" s="10"/>
      <c r="P174" s="33"/>
      <c r="Q174" s="6"/>
      <c r="R174" s="10"/>
      <c r="S174" s="33"/>
      <c r="T174" s="181"/>
      <c r="U174" s="175"/>
      <c r="V174" s="175"/>
      <c r="W174" s="191"/>
      <c r="X174" s="11"/>
      <c r="Y174" s="11"/>
      <c r="Z174" s="162" t="s">
        <v>723</v>
      </c>
      <c r="AA174" s="11"/>
      <c r="AB174" s="286"/>
      <c r="AC174" s="30"/>
      <c r="AD174" s="10"/>
      <c r="AH174" s="21">
        <v>1</v>
      </c>
      <c r="AI174" s="21" t="s">
        <v>219</v>
      </c>
      <c r="AJ174" s="21" t="s">
        <v>169</v>
      </c>
      <c r="AL174" s="21" t="s">
        <v>33</v>
      </c>
      <c r="AM174" s="21" t="s">
        <v>245</v>
      </c>
      <c r="AP174" s="21" t="e">
        <v>#REF!</v>
      </c>
    </row>
    <row r="175" spans="1:42" ht="12" customHeight="1">
      <c r="A175" s="160">
        <f t="shared" si="4"/>
        <v>173</v>
      </c>
      <c r="B175" s="134"/>
      <c r="C175" s="124" t="s">
        <v>31</v>
      </c>
      <c r="D175" s="283"/>
      <c r="E175" s="11" t="s">
        <v>117</v>
      </c>
      <c r="F175" s="36" t="s">
        <v>83</v>
      </c>
      <c r="G175" s="99"/>
      <c r="H175" s="30"/>
      <c r="I175" s="31"/>
      <c r="J175" s="8"/>
      <c r="K175" s="10" t="s">
        <v>95</v>
      </c>
      <c r="L175" s="10" t="s">
        <v>27</v>
      </c>
      <c r="M175" s="10" t="s">
        <v>33</v>
      </c>
      <c r="N175" s="10" t="s">
        <v>27</v>
      </c>
      <c r="O175" s="10"/>
      <c r="P175" s="33"/>
      <c r="Q175" s="6"/>
      <c r="R175" s="10"/>
      <c r="S175" s="33"/>
      <c r="T175" s="181"/>
      <c r="U175" s="175"/>
      <c r="V175" s="175"/>
      <c r="W175" s="191"/>
      <c r="X175" s="11"/>
      <c r="Y175" s="11"/>
      <c r="Z175" s="162" t="s">
        <v>724</v>
      </c>
      <c r="AA175" s="11"/>
      <c r="AB175" s="286"/>
      <c r="AC175" s="30"/>
      <c r="AD175" s="10"/>
      <c r="AH175" s="21">
        <v>1</v>
      </c>
      <c r="AI175" s="21" t="s">
        <v>219</v>
      </c>
      <c r="AJ175" s="21" t="s">
        <v>171</v>
      </c>
      <c r="AL175" s="21" t="s">
        <v>33</v>
      </c>
      <c r="AM175" s="21" t="s">
        <v>247</v>
      </c>
      <c r="AP175" s="21" t="e">
        <v>#REF!</v>
      </c>
    </row>
    <row r="176" spans="1:42" s="43" customFormat="1" ht="12" customHeight="1" thickBot="1">
      <c r="A176" s="160">
        <f t="shared" si="4"/>
        <v>174</v>
      </c>
      <c r="B176" s="134"/>
      <c r="C176" s="124" t="s">
        <v>31</v>
      </c>
      <c r="D176" s="283"/>
      <c r="E176" s="11" t="s">
        <v>117</v>
      </c>
      <c r="F176" s="36" t="s">
        <v>83</v>
      </c>
      <c r="G176" s="99"/>
      <c r="H176" s="30"/>
      <c r="I176" s="31"/>
      <c r="J176" s="8"/>
      <c r="K176" s="10" t="s">
        <v>95</v>
      </c>
      <c r="L176" s="10" t="s">
        <v>27</v>
      </c>
      <c r="M176" s="10" t="s">
        <v>33</v>
      </c>
      <c r="N176" s="10" t="s">
        <v>27</v>
      </c>
      <c r="O176" s="10"/>
      <c r="P176" s="33"/>
      <c r="Q176" s="6"/>
      <c r="R176" s="10"/>
      <c r="S176" s="33"/>
      <c r="T176" s="181"/>
      <c r="U176" s="175"/>
      <c r="V176" s="175"/>
      <c r="W176" s="191"/>
      <c r="X176" s="11"/>
      <c r="Y176" s="11"/>
      <c r="Z176" s="162" t="s">
        <v>725</v>
      </c>
      <c r="AA176" s="11"/>
      <c r="AB176" s="286"/>
      <c r="AC176" s="30"/>
      <c r="AD176" s="10"/>
      <c r="AH176" s="43">
        <v>1</v>
      </c>
      <c r="AI176" s="43" t="s">
        <v>219</v>
      </c>
      <c r="AJ176" s="43" t="s">
        <v>173</v>
      </c>
      <c r="AL176" s="43" t="s">
        <v>33</v>
      </c>
      <c r="AM176" s="43" t="s">
        <v>267</v>
      </c>
      <c r="AP176" s="43" t="e">
        <v>#REF!</v>
      </c>
    </row>
    <row r="177" spans="1:42" ht="12" customHeight="1">
      <c r="A177" s="160">
        <f t="shared" si="4"/>
        <v>175</v>
      </c>
      <c r="B177" s="134"/>
      <c r="C177" s="124" t="s">
        <v>31</v>
      </c>
      <c r="D177" s="283"/>
      <c r="E177" s="11" t="s">
        <v>117</v>
      </c>
      <c r="F177" s="36" t="s">
        <v>83</v>
      </c>
      <c r="G177" s="99"/>
      <c r="H177" s="30"/>
      <c r="I177" s="31"/>
      <c r="J177" s="8"/>
      <c r="K177" s="10" t="s">
        <v>95</v>
      </c>
      <c r="L177" s="10" t="s">
        <v>27</v>
      </c>
      <c r="M177" s="10" t="s">
        <v>33</v>
      </c>
      <c r="N177" s="10" t="s">
        <v>27</v>
      </c>
      <c r="O177" s="10"/>
      <c r="P177" s="33"/>
      <c r="Q177" s="6"/>
      <c r="R177" s="10"/>
      <c r="S177" s="33"/>
      <c r="T177" s="181"/>
      <c r="U177" s="175"/>
      <c r="V177" s="175"/>
      <c r="W177" s="191"/>
      <c r="X177" s="11"/>
      <c r="Y177" s="11"/>
      <c r="Z177" s="162" t="s">
        <v>726</v>
      </c>
      <c r="AA177" s="11"/>
      <c r="AB177" s="286"/>
      <c r="AC177" s="30"/>
      <c r="AD177" s="10"/>
      <c r="AH177" s="21">
        <v>1</v>
      </c>
      <c r="AI177" s="21" t="s">
        <v>219</v>
      </c>
      <c r="AJ177" s="21" t="s">
        <v>176</v>
      </c>
      <c r="AL177" s="21" t="s">
        <v>33</v>
      </c>
      <c r="AM177" s="21" t="s">
        <v>269</v>
      </c>
      <c r="AP177" s="21" t="e">
        <v>#REF!</v>
      </c>
    </row>
    <row r="178" spans="1:42" s="38" customFormat="1" ht="12" customHeight="1">
      <c r="A178" s="160">
        <f t="shared" si="4"/>
        <v>176</v>
      </c>
      <c r="B178" s="134"/>
      <c r="C178" s="124" t="s">
        <v>31</v>
      </c>
      <c r="D178" s="283"/>
      <c r="E178" s="11" t="s">
        <v>117</v>
      </c>
      <c r="F178" s="36" t="s">
        <v>83</v>
      </c>
      <c r="G178" s="99"/>
      <c r="H178" s="30"/>
      <c r="I178" s="31"/>
      <c r="J178" s="8"/>
      <c r="K178" s="10" t="s">
        <v>95</v>
      </c>
      <c r="L178" s="10" t="s">
        <v>27</v>
      </c>
      <c r="M178" s="10" t="s">
        <v>33</v>
      </c>
      <c r="N178" s="10" t="s">
        <v>27</v>
      </c>
      <c r="O178" s="10"/>
      <c r="P178" s="33"/>
      <c r="Q178" s="6"/>
      <c r="R178" s="10"/>
      <c r="S178" s="33"/>
      <c r="T178" s="181"/>
      <c r="U178" s="175"/>
      <c r="V178" s="175"/>
      <c r="W178" s="191"/>
      <c r="X178" s="11"/>
      <c r="Y178" s="11"/>
      <c r="Z178" s="162" t="s">
        <v>727</v>
      </c>
      <c r="AA178" s="11"/>
      <c r="AB178" s="287"/>
      <c r="AC178" s="30"/>
      <c r="AD178" s="10"/>
      <c r="AH178" s="38">
        <v>1</v>
      </c>
      <c r="AI178" s="38" t="s">
        <v>219</v>
      </c>
      <c r="AJ178" s="38" t="s">
        <v>188</v>
      </c>
      <c r="AL178" s="38" t="s">
        <v>33</v>
      </c>
      <c r="AM178" s="38" t="s">
        <v>270</v>
      </c>
      <c r="AP178" s="38" t="e">
        <f>IF(#REF!="","",LEFT(#REF!,FIND("-",#REF!)) &amp; IF(VALUE(MID(#REF!,FIND("-",#REF!)+1,4))&lt;1000,RIGHT("0000" &amp; MID(#REF!,FIND("-",#REF!)+1,4)+100,4),MID(#REF!,FIND("-",#REF!)+1,4)+1000))</f>
        <v>#REF!</v>
      </c>
    </row>
    <row r="179" spans="1:42" ht="12" customHeight="1">
      <c r="A179" s="160">
        <f t="shared" si="4"/>
        <v>177</v>
      </c>
      <c r="B179" s="134"/>
      <c r="C179" s="124" t="s">
        <v>31</v>
      </c>
      <c r="D179" s="283"/>
      <c r="E179" s="5" t="s">
        <v>117</v>
      </c>
      <c r="F179" s="36" t="s">
        <v>83</v>
      </c>
      <c r="G179" s="35"/>
      <c r="H179" s="44"/>
      <c r="I179" s="45"/>
      <c r="J179" s="1"/>
      <c r="K179" s="4"/>
      <c r="L179" s="4"/>
      <c r="M179" s="4"/>
      <c r="N179" s="4"/>
      <c r="O179" s="4"/>
      <c r="P179" s="32"/>
      <c r="Q179" s="3"/>
      <c r="R179" s="4"/>
      <c r="S179" s="32"/>
      <c r="T179" s="180"/>
      <c r="U179" s="174"/>
      <c r="V179" s="174"/>
      <c r="W179" s="190"/>
      <c r="X179" s="5"/>
      <c r="Y179" s="5"/>
      <c r="Z179" s="161" t="s">
        <v>728</v>
      </c>
      <c r="AA179" s="5"/>
      <c r="AB179" s="288"/>
      <c r="AC179" s="30"/>
      <c r="AD179" s="10"/>
      <c r="AH179" s="21">
        <v>1</v>
      </c>
      <c r="AI179" s="21" t="s">
        <v>219</v>
      </c>
      <c r="AJ179" s="21" t="s">
        <v>179</v>
      </c>
      <c r="AL179" s="21" t="s">
        <v>33</v>
      </c>
      <c r="AM179" s="21" t="s">
        <v>254</v>
      </c>
      <c r="AP179" s="21" t="e">
        <v>#REF!</v>
      </c>
    </row>
    <row r="180" spans="1:42" ht="12" customHeight="1">
      <c r="A180" s="160">
        <f t="shared" si="4"/>
        <v>178</v>
      </c>
      <c r="B180" s="134"/>
      <c r="C180" s="124" t="s">
        <v>31</v>
      </c>
      <c r="D180" s="283"/>
      <c r="E180" s="11" t="s">
        <v>117</v>
      </c>
      <c r="F180" s="36" t="s">
        <v>83</v>
      </c>
      <c r="G180" s="99"/>
      <c r="H180" s="30"/>
      <c r="I180" s="31"/>
      <c r="J180" s="8"/>
      <c r="K180" s="10"/>
      <c r="L180" s="10"/>
      <c r="M180" s="10"/>
      <c r="N180" s="10"/>
      <c r="O180" s="10"/>
      <c r="P180" s="33"/>
      <c r="Q180" s="6"/>
      <c r="R180" s="10"/>
      <c r="S180" s="33"/>
      <c r="T180" s="181"/>
      <c r="U180" s="175"/>
      <c r="V180" s="175"/>
      <c r="W180" s="191"/>
      <c r="X180" s="11"/>
      <c r="Y180" s="11"/>
      <c r="Z180" s="162" t="s">
        <v>729</v>
      </c>
      <c r="AA180" s="11"/>
      <c r="AB180" s="286"/>
      <c r="AC180" s="30"/>
      <c r="AD180" s="10"/>
      <c r="AH180" s="21">
        <v>1</v>
      </c>
      <c r="AI180" s="21" t="s">
        <v>219</v>
      </c>
      <c r="AJ180" s="21" t="s">
        <v>182</v>
      </c>
      <c r="AL180" s="21" t="s">
        <v>33</v>
      </c>
      <c r="AM180" s="21" t="s">
        <v>258</v>
      </c>
      <c r="AP180" s="21" t="e">
        <v>#REF!</v>
      </c>
    </row>
    <row r="181" spans="1:42" ht="12" customHeight="1">
      <c r="A181" s="160">
        <f t="shared" si="4"/>
        <v>179</v>
      </c>
      <c r="B181" s="134"/>
      <c r="C181" s="124" t="s">
        <v>31</v>
      </c>
      <c r="D181" s="283"/>
      <c r="E181" s="11" t="s">
        <v>117</v>
      </c>
      <c r="F181" s="36" t="s">
        <v>83</v>
      </c>
      <c r="G181" s="99"/>
      <c r="H181" s="30"/>
      <c r="I181" s="31"/>
      <c r="J181" s="8"/>
      <c r="K181" s="10"/>
      <c r="L181" s="10"/>
      <c r="M181" s="10"/>
      <c r="N181" s="10"/>
      <c r="O181" s="10"/>
      <c r="P181" s="33"/>
      <c r="Q181" s="6"/>
      <c r="R181" s="10"/>
      <c r="S181" s="33"/>
      <c r="T181" s="181"/>
      <c r="U181" s="175"/>
      <c r="V181" s="175"/>
      <c r="W181" s="191"/>
      <c r="X181" s="11"/>
      <c r="Y181" s="11"/>
      <c r="Z181" s="162" t="s">
        <v>730</v>
      </c>
      <c r="AA181" s="11"/>
      <c r="AB181" s="286"/>
      <c r="AC181" s="30"/>
      <c r="AD181" s="10"/>
      <c r="AH181" s="21">
        <v>1</v>
      </c>
      <c r="AI181" s="21" t="s">
        <v>219</v>
      </c>
      <c r="AJ181" s="21" t="s">
        <v>185</v>
      </c>
      <c r="AL181" s="21" t="s">
        <v>33</v>
      </c>
      <c r="AM181" s="21" t="s">
        <v>261</v>
      </c>
      <c r="AP181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82" spans="1:42" ht="12" customHeight="1">
      <c r="A182" s="160">
        <f t="shared" si="4"/>
        <v>180</v>
      </c>
      <c r="B182" s="134"/>
      <c r="C182" s="124" t="s">
        <v>31</v>
      </c>
      <c r="D182" s="283"/>
      <c r="E182" s="11" t="s">
        <v>117</v>
      </c>
      <c r="F182" s="36" t="s">
        <v>83</v>
      </c>
      <c r="G182" s="99"/>
      <c r="H182" s="30"/>
      <c r="I182" s="31"/>
      <c r="J182" s="8"/>
      <c r="K182" s="10"/>
      <c r="L182" s="10"/>
      <c r="M182" s="10"/>
      <c r="N182" s="10"/>
      <c r="O182" s="10"/>
      <c r="P182" s="33"/>
      <c r="Q182" s="6"/>
      <c r="R182" s="10"/>
      <c r="S182" s="33"/>
      <c r="T182" s="181"/>
      <c r="U182" s="175"/>
      <c r="V182" s="175"/>
      <c r="W182" s="191"/>
      <c r="X182" s="11"/>
      <c r="Y182" s="11"/>
      <c r="Z182" s="162" t="s">
        <v>731</v>
      </c>
      <c r="AA182" s="11"/>
      <c r="AB182" s="286"/>
      <c r="AC182" s="30"/>
      <c r="AD182" s="10"/>
      <c r="AH182" s="21">
        <v>1</v>
      </c>
      <c r="AI182" s="21" t="s">
        <v>219</v>
      </c>
      <c r="AJ182" s="21" t="s">
        <v>188</v>
      </c>
      <c r="AL182" s="21" t="s">
        <v>33</v>
      </c>
      <c r="AM182" s="21" t="s">
        <v>270</v>
      </c>
      <c r="AP182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83" spans="1:42" ht="12" customHeight="1">
      <c r="A183" s="160">
        <f t="shared" si="4"/>
        <v>181</v>
      </c>
      <c r="B183" s="134"/>
      <c r="C183" s="124" t="s">
        <v>31</v>
      </c>
      <c r="D183" s="283"/>
      <c r="E183" s="11" t="s">
        <v>117</v>
      </c>
      <c r="F183" s="36" t="s">
        <v>83</v>
      </c>
      <c r="G183" s="99"/>
      <c r="H183" s="30"/>
      <c r="I183" s="31"/>
      <c r="J183" s="8"/>
      <c r="K183" s="10"/>
      <c r="L183" s="10"/>
      <c r="M183" s="10"/>
      <c r="N183" s="10"/>
      <c r="O183" s="10"/>
      <c r="P183" s="33"/>
      <c r="Q183" s="6"/>
      <c r="R183" s="10"/>
      <c r="S183" s="33"/>
      <c r="T183" s="181"/>
      <c r="U183" s="175"/>
      <c r="V183" s="175"/>
      <c r="W183" s="191"/>
      <c r="X183" s="11"/>
      <c r="Y183" s="11"/>
      <c r="Z183" s="162" t="s">
        <v>732</v>
      </c>
      <c r="AA183" s="11"/>
      <c r="AB183" s="286"/>
      <c r="AC183" s="30"/>
      <c r="AD183" s="10"/>
      <c r="AH183" s="21">
        <v>1</v>
      </c>
      <c r="AI183" s="21" t="s">
        <v>219</v>
      </c>
      <c r="AJ183" s="21" t="s">
        <v>191</v>
      </c>
      <c r="AL183" s="21" t="s">
        <v>33</v>
      </c>
      <c r="AM183" s="21" t="s">
        <v>273</v>
      </c>
      <c r="AP183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84" spans="1:42" s="43" customFormat="1" ht="12" customHeight="1" thickBot="1">
      <c r="A184" s="160">
        <f t="shared" si="4"/>
        <v>182</v>
      </c>
      <c r="B184" s="134"/>
      <c r="C184" s="124" t="s">
        <v>31</v>
      </c>
      <c r="D184" s="283"/>
      <c r="E184" s="11" t="s">
        <v>117</v>
      </c>
      <c r="F184" s="36" t="s">
        <v>83</v>
      </c>
      <c r="G184" s="99"/>
      <c r="H184" s="30"/>
      <c r="I184" s="31"/>
      <c r="J184" s="8"/>
      <c r="K184" s="10"/>
      <c r="L184" s="10"/>
      <c r="M184" s="10"/>
      <c r="N184" s="10"/>
      <c r="O184" s="10"/>
      <c r="P184" s="33"/>
      <c r="Q184" s="6"/>
      <c r="R184" s="10"/>
      <c r="S184" s="33"/>
      <c r="T184" s="181"/>
      <c r="U184" s="175"/>
      <c r="V184" s="175"/>
      <c r="W184" s="191"/>
      <c r="X184" s="11"/>
      <c r="Y184" s="11"/>
      <c r="Z184" s="162" t="s">
        <v>733</v>
      </c>
      <c r="AA184" s="11"/>
      <c r="AB184" s="286"/>
      <c r="AC184" s="30"/>
      <c r="AD184" s="10"/>
      <c r="AH184" s="43">
        <v>1</v>
      </c>
      <c r="AI184" s="43" t="s">
        <v>219</v>
      </c>
      <c r="AJ184" s="43" t="s">
        <v>194</v>
      </c>
      <c r="AL184" s="43" t="s">
        <v>33</v>
      </c>
      <c r="AM184" s="43" t="s">
        <v>276</v>
      </c>
      <c r="AP184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85" spans="1:42" ht="12" customHeight="1">
      <c r="A185" s="160">
        <f t="shared" si="4"/>
        <v>183</v>
      </c>
      <c r="B185" s="134"/>
      <c r="C185" s="124" t="s">
        <v>31</v>
      </c>
      <c r="D185" s="283"/>
      <c r="E185" s="11" t="s">
        <v>117</v>
      </c>
      <c r="F185" s="36" t="s">
        <v>83</v>
      </c>
      <c r="G185" s="99"/>
      <c r="H185" s="30"/>
      <c r="I185" s="31"/>
      <c r="J185" s="8"/>
      <c r="K185" s="10" t="s">
        <v>95</v>
      </c>
      <c r="L185" s="10" t="s">
        <v>27</v>
      </c>
      <c r="M185" s="10" t="s">
        <v>33</v>
      </c>
      <c r="N185" s="10" t="s">
        <v>27</v>
      </c>
      <c r="O185" s="10"/>
      <c r="P185" s="33"/>
      <c r="Q185" s="6"/>
      <c r="R185" s="10"/>
      <c r="S185" s="33"/>
      <c r="T185" s="181"/>
      <c r="U185" s="175"/>
      <c r="V185" s="175"/>
      <c r="W185" s="191"/>
      <c r="X185" s="11"/>
      <c r="Y185" s="11"/>
      <c r="Z185" s="162" t="s">
        <v>734</v>
      </c>
      <c r="AA185" s="11"/>
      <c r="AB185" s="286"/>
      <c r="AC185" s="30"/>
      <c r="AD185" s="10"/>
      <c r="AH185" s="21">
        <v>1</v>
      </c>
      <c r="AI185" s="21" t="s">
        <v>219</v>
      </c>
      <c r="AJ185" s="21" t="s">
        <v>185</v>
      </c>
      <c r="AL185" s="21" t="s">
        <v>33</v>
      </c>
      <c r="AM185" s="21" t="s">
        <v>261</v>
      </c>
      <c r="AP185" s="21" t="e">
        <f>IF(#REF!="","",LEFT(#REF!,FIND("-",#REF!)) &amp; IF(VALUE(MID(#REF!,FIND("-",#REF!)+1,4))&lt;1000,RIGHT("0000" &amp; MID(#REF!,FIND("-",#REF!)+1,4)+100,4),MID(#REF!,FIND("-",#REF!)+1,4)+1000))</f>
        <v>#REF!</v>
      </c>
    </row>
    <row r="186" spans="1:42" s="43" customFormat="1" ht="12" customHeight="1" thickBot="1">
      <c r="A186" s="160">
        <f t="shared" si="4"/>
        <v>184</v>
      </c>
      <c r="B186" s="143"/>
      <c r="C186" s="100" t="s">
        <v>31</v>
      </c>
      <c r="D186" s="284"/>
      <c r="E186" s="66" t="s">
        <v>117</v>
      </c>
      <c r="F186" s="145" t="s">
        <v>83</v>
      </c>
      <c r="G186" s="101" t="s">
        <v>279</v>
      </c>
      <c r="H186" s="60"/>
      <c r="I186" s="61"/>
      <c r="J186" s="62" t="s">
        <v>279</v>
      </c>
      <c r="K186" s="63" t="s">
        <v>95</v>
      </c>
      <c r="L186" s="63" t="s">
        <v>27</v>
      </c>
      <c r="M186" s="63" t="s">
        <v>33</v>
      </c>
      <c r="N186" s="63" t="s">
        <v>27</v>
      </c>
      <c r="O186" s="63"/>
      <c r="P186" s="65"/>
      <c r="Q186" s="64"/>
      <c r="R186" s="63"/>
      <c r="S186" s="65"/>
      <c r="T186" s="188"/>
      <c r="U186" s="178"/>
      <c r="V186" s="178"/>
      <c r="W186" s="194"/>
      <c r="X186" s="66"/>
      <c r="Y186" s="66"/>
      <c r="Z186" s="167" t="s">
        <v>735</v>
      </c>
      <c r="AA186" s="66"/>
      <c r="AB186" s="289"/>
      <c r="AC186" s="30"/>
      <c r="AD186" s="10"/>
      <c r="AH186" s="43">
        <v>1</v>
      </c>
      <c r="AI186" s="43" t="s">
        <v>219</v>
      </c>
      <c r="AJ186" s="43" t="s">
        <v>188</v>
      </c>
      <c r="AL186" s="43" t="s">
        <v>33</v>
      </c>
      <c r="AM186" s="43" t="s">
        <v>270</v>
      </c>
      <c r="AP186" s="43" t="e">
        <f>IF(#REF!="","",LEFT(#REF!,FIND("-",#REF!)) &amp; IF(VALUE(MID(#REF!,FIND("-",#REF!)+1,4))&lt;1000,RIGHT("0000" &amp; MID(#REF!,FIND("-",#REF!)+1,4)+100,4),MID(#REF!,FIND("-",#REF!)+1,4)+1000))</f>
        <v>#REF!</v>
      </c>
    </row>
    <row r="187" spans="1:42" ht="12" customHeight="1">
      <c r="AM187" s="21" t="s">
        <v>311</v>
      </c>
    </row>
    <row r="188" spans="1:42" ht="12" customHeight="1">
      <c r="AM188" s="21" t="s">
        <v>311</v>
      </c>
    </row>
    <row r="189" spans="1:42" ht="12" customHeight="1">
      <c r="AM189" s="21" t="s">
        <v>311</v>
      </c>
    </row>
    <row r="190" spans="1:42" ht="12" customHeight="1">
      <c r="AM190" s="21" t="s">
        <v>311</v>
      </c>
    </row>
    <row r="191" spans="1:42" ht="12" customHeight="1">
      <c r="AM191" s="21" t="s">
        <v>311</v>
      </c>
    </row>
    <row r="192" spans="1:42" ht="12" customHeight="1">
      <c r="AM192" s="21" t="s">
        <v>311</v>
      </c>
    </row>
    <row r="193" spans="39:39" ht="12" customHeight="1">
      <c r="AM193" s="21" t="s">
        <v>311</v>
      </c>
    </row>
    <row r="194" spans="39:39" ht="12" customHeight="1">
      <c r="AM194" s="21" t="s">
        <v>311</v>
      </c>
    </row>
    <row r="195" spans="39:39" ht="12" customHeight="1">
      <c r="AM195" s="21" t="s">
        <v>311</v>
      </c>
    </row>
    <row r="196" spans="39:39" ht="12" customHeight="1">
      <c r="AM196" s="21" t="s">
        <v>311</v>
      </c>
    </row>
    <row r="197" spans="39:39" ht="12" customHeight="1">
      <c r="AM197" s="21" t="s">
        <v>311</v>
      </c>
    </row>
    <row r="198" spans="39:39" ht="12" customHeight="1">
      <c r="AM198" s="21" t="s">
        <v>311</v>
      </c>
    </row>
    <row r="199" spans="39:39" ht="12" customHeight="1">
      <c r="AM199" s="21" t="s">
        <v>311</v>
      </c>
    </row>
    <row r="200" spans="39:39" ht="12" customHeight="1">
      <c r="AM200" s="21" t="s">
        <v>311</v>
      </c>
    </row>
    <row r="201" spans="39:39" ht="12" customHeight="1">
      <c r="AM201" s="21" t="s">
        <v>311</v>
      </c>
    </row>
    <row r="202" spans="39:39" ht="12" customHeight="1">
      <c r="AM202" s="21" t="s">
        <v>311</v>
      </c>
    </row>
    <row r="203" spans="39:39" ht="12" customHeight="1">
      <c r="AM203" s="21" t="s">
        <v>311</v>
      </c>
    </row>
    <row r="204" spans="39:39" ht="12" customHeight="1">
      <c r="AM204" s="21" t="s">
        <v>311</v>
      </c>
    </row>
    <row r="205" spans="39:39" ht="12" customHeight="1">
      <c r="AM205" s="21" t="s">
        <v>311</v>
      </c>
    </row>
    <row r="206" spans="39:39" ht="12" customHeight="1">
      <c r="AM206" s="21" t="s">
        <v>311</v>
      </c>
    </row>
    <row r="207" spans="39:39" ht="12" customHeight="1">
      <c r="AM207" s="21" t="s">
        <v>311</v>
      </c>
    </row>
    <row r="208" spans="39:39" ht="12" customHeight="1">
      <c r="AM208" s="21" t="s">
        <v>311</v>
      </c>
    </row>
    <row r="209" spans="39:39" ht="12" customHeight="1">
      <c r="AM209" s="21" t="s">
        <v>311</v>
      </c>
    </row>
    <row r="210" spans="39:39" ht="12" customHeight="1">
      <c r="AM210" s="21" t="s">
        <v>311</v>
      </c>
    </row>
    <row r="211" spans="39:39" ht="12" customHeight="1">
      <c r="AM211" s="21" t="s">
        <v>311</v>
      </c>
    </row>
    <row r="212" spans="39:39" ht="12" customHeight="1">
      <c r="AM212" s="21" t="s">
        <v>311</v>
      </c>
    </row>
    <row r="213" spans="39:39" ht="12" customHeight="1">
      <c r="AM213" s="21" t="s">
        <v>311</v>
      </c>
    </row>
    <row r="214" spans="39:39" ht="12" customHeight="1">
      <c r="AM214" s="21" t="s">
        <v>311</v>
      </c>
    </row>
    <row r="215" spans="39:39" ht="12" customHeight="1">
      <c r="AM215" s="21" t="s">
        <v>311</v>
      </c>
    </row>
    <row r="216" spans="39:39" ht="12" customHeight="1">
      <c r="AM216" s="21" t="s">
        <v>311</v>
      </c>
    </row>
    <row r="217" spans="39:39" ht="12" customHeight="1">
      <c r="AM217" s="21" t="s">
        <v>311</v>
      </c>
    </row>
    <row r="218" spans="39:39" ht="12" customHeight="1">
      <c r="AM218" s="21" t="s">
        <v>311</v>
      </c>
    </row>
    <row r="219" spans="39:39" ht="12" customHeight="1">
      <c r="AM219" s="21" t="s">
        <v>311</v>
      </c>
    </row>
    <row r="220" spans="39:39" ht="12" customHeight="1">
      <c r="AM220" s="21" t="s">
        <v>311</v>
      </c>
    </row>
    <row r="221" spans="39:39" ht="12" customHeight="1">
      <c r="AM221" s="21" t="s">
        <v>311</v>
      </c>
    </row>
    <row r="222" spans="39:39" ht="12" customHeight="1">
      <c r="AM222" s="21" t="s">
        <v>311</v>
      </c>
    </row>
    <row r="223" spans="39:39" ht="12" customHeight="1">
      <c r="AM223" s="21" t="s">
        <v>311</v>
      </c>
    </row>
    <row r="224" spans="39:39" ht="12" customHeight="1">
      <c r="AM224" s="21" t="s">
        <v>311</v>
      </c>
    </row>
    <row r="225" spans="39:39" ht="12" customHeight="1">
      <c r="AM225" s="21" t="s">
        <v>311</v>
      </c>
    </row>
    <row r="226" spans="39:39" ht="12" customHeight="1">
      <c r="AM226" s="21" t="s">
        <v>311</v>
      </c>
    </row>
    <row r="227" spans="39:39" ht="12" customHeight="1">
      <c r="AM227" s="21" t="s">
        <v>311</v>
      </c>
    </row>
    <row r="228" spans="39:39" ht="12" customHeight="1">
      <c r="AM228" s="21" t="s">
        <v>311</v>
      </c>
    </row>
    <row r="229" spans="39:39" ht="12" customHeight="1">
      <c r="AM229" s="21" t="s">
        <v>311</v>
      </c>
    </row>
    <row r="230" spans="39:39" ht="12" customHeight="1">
      <c r="AM230" s="21" t="s">
        <v>311</v>
      </c>
    </row>
    <row r="231" spans="39:39" ht="12" customHeight="1">
      <c r="AM231" s="21" t="s">
        <v>311</v>
      </c>
    </row>
    <row r="232" spans="39:39" ht="12" customHeight="1">
      <c r="AM232" s="21" t="s">
        <v>311</v>
      </c>
    </row>
    <row r="233" spans="39:39" ht="12" customHeight="1">
      <c r="AM233" s="21" t="s">
        <v>311</v>
      </c>
    </row>
    <row r="234" spans="39:39" ht="12" customHeight="1">
      <c r="AM234" s="21" t="s">
        <v>311</v>
      </c>
    </row>
    <row r="235" spans="39:39" ht="12" customHeight="1">
      <c r="AM235" s="21" t="s">
        <v>311</v>
      </c>
    </row>
    <row r="236" spans="39:39" ht="12" customHeight="1">
      <c r="AM236" s="21" t="s">
        <v>311</v>
      </c>
    </row>
    <row r="237" spans="39:39" ht="12" customHeight="1">
      <c r="AM237" s="21" t="s">
        <v>311</v>
      </c>
    </row>
    <row r="238" spans="39:39" ht="12" customHeight="1">
      <c r="AM238" s="21" t="s">
        <v>311</v>
      </c>
    </row>
    <row r="239" spans="39:39" ht="12" customHeight="1">
      <c r="AM239" s="21" t="s">
        <v>311</v>
      </c>
    </row>
    <row r="240" spans="39:39" ht="12" customHeight="1">
      <c r="AM240" s="21" t="s">
        <v>311</v>
      </c>
    </row>
    <row r="241" spans="39:39" ht="12" customHeight="1">
      <c r="AM241" s="21" t="s">
        <v>311</v>
      </c>
    </row>
    <row r="242" spans="39:39" ht="12" customHeight="1">
      <c r="AM242" s="21" t="s">
        <v>311</v>
      </c>
    </row>
    <row r="243" spans="39:39" ht="12" customHeight="1">
      <c r="AM243" s="21" t="s">
        <v>311</v>
      </c>
    </row>
    <row r="244" spans="39:39" ht="12" customHeight="1">
      <c r="AM244" s="21" t="s">
        <v>311</v>
      </c>
    </row>
    <row r="245" spans="39:39" ht="12" customHeight="1">
      <c r="AM245" s="21" t="s">
        <v>311</v>
      </c>
    </row>
    <row r="246" spans="39:39" ht="12" customHeight="1">
      <c r="AM246" s="21" t="s">
        <v>311</v>
      </c>
    </row>
    <row r="247" spans="39:39" ht="12" customHeight="1">
      <c r="AM247" s="21" t="s">
        <v>311</v>
      </c>
    </row>
    <row r="248" spans="39:39" ht="12" customHeight="1">
      <c r="AM248" s="21" t="s">
        <v>311</v>
      </c>
    </row>
    <row r="249" spans="39:39" ht="12" customHeight="1">
      <c r="AM249" s="21" t="s">
        <v>311</v>
      </c>
    </row>
    <row r="250" spans="39:39" ht="12" customHeight="1">
      <c r="AM250" s="21" t="s">
        <v>311</v>
      </c>
    </row>
    <row r="251" spans="39:39" ht="12" customHeight="1">
      <c r="AM251" s="21" t="s">
        <v>311</v>
      </c>
    </row>
    <row r="252" spans="39:39" ht="12" customHeight="1">
      <c r="AM252" s="21" t="s">
        <v>311</v>
      </c>
    </row>
    <row r="253" spans="39:39" ht="12" customHeight="1">
      <c r="AM253" s="21" t="s">
        <v>311</v>
      </c>
    </row>
    <row r="254" spans="39:39" ht="12" customHeight="1">
      <c r="AM254" s="21" t="s">
        <v>311</v>
      </c>
    </row>
    <row r="255" spans="39:39" ht="12" customHeight="1">
      <c r="AM255" s="21" t="s">
        <v>311</v>
      </c>
    </row>
    <row r="256" spans="39:39" ht="12" customHeight="1">
      <c r="AM256" s="21" t="s">
        <v>311</v>
      </c>
    </row>
    <row r="257" spans="39:39" ht="12" customHeight="1">
      <c r="AM257" s="21" t="s">
        <v>311</v>
      </c>
    </row>
    <row r="258" spans="39:39" ht="12" customHeight="1">
      <c r="AM258" s="21" t="s">
        <v>311</v>
      </c>
    </row>
    <row r="259" spans="39:39" ht="12" customHeight="1">
      <c r="AM259" s="21" t="s">
        <v>311</v>
      </c>
    </row>
    <row r="260" spans="39:39" ht="12" customHeight="1">
      <c r="AM260" s="21" t="s">
        <v>311</v>
      </c>
    </row>
    <row r="261" spans="39:39" ht="12" customHeight="1">
      <c r="AM261" s="21" t="s">
        <v>311</v>
      </c>
    </row>
    <row r="262" spans="39:39" ht="12" customHeight="1">
      <c r="AM262" s="21" t="s">
        <v>311</v>
      </c>
    </row>
    <row r="263" spans="39:39" ht="12" customHeight="1">
      <c r="AM263" s="21" t="s">
        <v>311</v>
      </c>
    </row>
    <row r="264" spans="39:39" ht="12" customHeight="1">
      <c r="AM264" s="21" t="s">
        <v>311</v>
      </c>
    </row>
    <row r="265" spans="39:39" ht="12" customHeight="1">
      <c r="AM265" s="21" t="s">
        <v>311</v>
      </c>
    </row>
    <row r="266" spans="39:39" ht="12" customHeight="1">
      <c r="AM266" s="21" t="s">
        <v>311</v>
      </c>
    </row>
    <row r="267" spans="39:39" ht="12" customHeight="1">
      <c r="AM267" s="21" t="s">
        <v>311</v>
      </c>
    </row>
    <row r="268" spans="39:39" ht="12" customHeight="1">
      <c r="AM268" s="21" t="s">
        <v>311</v>
      </c>
    </row>
    <row r="269" spans="39:39" ht="12" customHeight="1">
      <c r="AM269" s="21" t="s">
        <v>311</v>
      </c>
    </row>
    <row r="270" spans="39:39" ht="12" customHeight="1">
      <c r="AM270" s="21" t="s">
        <v>311</v>
      </c>
    </row>
    <row r="271" spans="39:39" ht="12" customHeight="1">
      <c r="AM271" s="21" t="s">
        <v>311</v>
      </c>
    </row>
    <row r="272" spans="39:39" ht="12" customHeight="1">
      <c r="AM272" s="21" t="s">
        <v>311</v>
      </c>
    </row>
    <row r="273" spans="39:39" ht="12" customHeight="1">
      <c r="AM273" s="21" t="s">
        <v>311</v>
      </c>
    </row>
    <row r="274" spans="39:39" ht="12" customHeight="1">
      <c r="AM274" s="21" t="s">
        <v>311</v>
      </c>
    </row>
    <row r="275" spans="39:39" ht="12" customHeight="1">
      <c r="AM275" s="21" t="s">
        <v>311</v>
      </c>
    </row>
    <row r="276" spans="39:39" ht="12" customHeight="1">
      <c r="AM276" s="21" t="s">
        <v>311</v>
      </c>
    </row>
    <row r="277" spans="39:39" ht="12" customHeight="1">
      <c r="AM277" s="21" t="s">
        <v>311</v>
      </c>
    </row>
    <row r="278" spans="39:39" ht="12" customHeight="1">
      <c r="AM278" s="21" t="s">
        <v>311</v>
      </c>
    </row>
    <row r="279" spans="39:39" ht="12" customHeight="1">
      <c r="AM279" s="21" t="s">
        <v>311</v>
      </c>
    </row>
    <row r="280" spans="39:39" ht="12" customHeight="1">
      <c r="AM280" s="21" t="s">
        <v>311</v>
      </c>
    </row>
    <row r="281" spans="39:39" ht="12" customHeight="1">
      <c r="AM281" s="21" t="s">
        <v>311</v>
      </c>
    </row>
    <row r="282" spans="39:39" ht="12" customHeight="1">
      <c r="AM282" s="21" t="s">
        <v>311</v>
      </c>
    </row>
    <row r="283" spans="39:39" ht="12" customHeight="1">
      <c r="AM283" s="21" t="s">
        <v>311</v>
      </c>
    </row>
    <row r="284" spans="39:39" ht="12" customHeight="1">
      <c r="AM284" s="21" t="s">
        <v>311</v>
      </c>
    </row>
    <row r="285" spans="39:39" ht="12" customHeight="1">
      <c r="AM285" s="21" t="s">
        <v>311</v>
      </c>
    </row>
    <row r="286" spans="39:39" ht="12" customHeight="1">
      <c r="AM286" s="21" t="s">
        <v>311</v>
      </c>
    </row>
    <row r="287" spans="39:39" ht="12" customHeight="1">
      <c r="AM287" s="21" t="s">
        <v>311</v>
      </c>
    </row>
    <row r="288" spans="39:39" ht="12" customHeight="1">
      <c r="AM288" s="21" t="s">
        <v>311</v>
      </c>
    </row>
    <row r="289" spans="39:39" ht="12" customHeight="1">
      <c r="AM289" s="21" t="s">
        <v>311</v>
      </c>
    </row>
    <row r="290" spans="39:39" ht="12" customHeight="1">
      <c r="AM290" s="21" t="s">
        <v>311</v>
      </c>
    </row>
    <row r="291" spans="39:39" ht="12" customHeight="1">
      <c r="AM291" s="21" t="s">
        <v>311</v>
      </c>
    </row>
    <row r="292" spans="39:39" ht="12" customHeight="1">
      <c r="AM292" s="21" t="s">
        <v>311</v>
      </c>
    </row>
    <row r="293" spans="39:39" ht="12" customHeight="1">
      <c r="AM293" s="21" t="s">
        <v>311</v>
      </c>
    </row>
    <row r="294" spans="39:39" ht="12" customHeight="1">
      <c r="AM294" s="21" t="s">
        <v>311</v>
      </c>
    </row>
    <row r="295" spans="39:39" ht="12" customHeight="1">
      <c r="AM295" s="21" t="s">
        <v>311</v>
      </c>
    </row>
    <row r="296" spans="39:39" ht="12" customHeight="1">
      <c r="AM296" s="21" t="s">
        <v>311</v>
      </c>
    </row>
    <row r="297" spans="39:39" ht="12" customHeight="1">
      <c r="AM297" s="21" t="s">
        <v>311</v>
      </c>
    </row>
    <row r="298" spans="39:39" ht="12" customHeight="1">
      <c r="AM298" s="21" t="s">
        <v>311</v>
      </c>
    </row>
    <row r="299" spans="39:39" ht="12" customHeight="1">
      <c r="AM299" s="21" t="s">
        <v>311</v>
      </c>
    </row>
    <row r="300" spans="39:39" ht="12" customHeight="1">
      <c r="AM300" s="21" t="s">
        <v>311</v>
      </c>
    </row>
    <row r="301" spans="39:39" ht="12" customHeight="1">
      <c r="AM301" s="21" t="s">
        <v>311</v>
      </c>
    </row>
    <row r="302" spans="39:39" ht="12" customHeight="1">
      <c r="AM302" s="21" t="s">
        <v>311</v>
      </c>
    </row>
    <row r="303" spans="39:39" ht="12" customHeight="1">
      <c r="AM303" s="21" t="s">
        <v>311</v>
      </c>
    </row>
    <row r="304" spans="39:39" ht="12" customHeight="1">
      <c r="AM304" s="21" t="s">
        <v>311</v>
      </c>
    </row>
    <row r="305" spans="39:39" ht="12" customHeight="1">
      <c r="AM305" s="21" t="s">
        <v>311</v>
      </c>
    </row>
    <row r="306" spans="39:39" ht="12" customHeight="1">
      <c r="AM306" s="21" t="s">
        <v>311</v>
      </c>
    </row>
    <row r="307" spans="39:39" ht="12" customHeight="1">
      <c r="AM307" s="21" t="s">
        <v>311</v>
      </c>
    </row>
    <row r="308" spans="39:39" ht="12" customHeight="1">
      <c r="AM308" s="21" t="s">
        <v>311</v>
      </c>
    </row>
    <row r="309" spans="39:39" ht="12" customHeight="1">
      <c r="AM309" s="21" t="s">
        <v>311</v>
      </c>
    </row>
    <row r="310" spans="39:39" ht="12" customHeight="1">
      <c r="AM310" s="21" t="s">
        <v>311</v>
      </c>
    </row>
    <row r="311" spans="39:39" ht="12" customHeight="1">
      <c r="AM311" s="21" t="s">
        <v>311</v>
      </c>
    </row>
    <row r="312" spans="39:39" ht="12" customHeight="1">
      <c r="AM312" s="21" t="s">
        <v>311</v>
      </c>
    </row>
    <row r="313" spans="39:39" ht="12" customHeight="1">
      <c r="AM313" s="21" t="s">
        <v>311</v>
      </c>
    </row>
    <row r="314" spans="39:39" ht="12" customHeight="1">
      <c r="AM314" s="21" t="s">
        <v>311</v>
      </c>
    </row>
    <row r="315" spans="39:39" ht="12" customHeight="1">
      <c r="AM315" s="21" t="s">
        <v>311</v>
      </c>
    </row>
    <row r="316" spans="39:39" ht="12" customHeight="1">
      <c r="AM316" s="21" t="s">
        <v>311</v>
      </c>
    </row>
    <row r="317" spans="39:39" ht="12" customHeight="1">
      <c r="AM317" s="21" t="s">
        <v>311</v>
      </c>
    </row>
    <row r="318" spans="39:39" ht="12" customHeight="1">
      <c r="AM318" s="21" t="s">
        <v>311</v>
      </c>
    </row>
    <row r="319" spans="39:39" ht="12" customHeight="1">
      <c r="AM319" s="21" t="s">
        <v>311</v>
      </c>
    </row>
    <row r="320" spans="39:39" ht="12" customHeight="1">
      <c r="AM320" s="21" t="s">
        <v>311</v>
      </c>
    </row>
    <row r="321" spans="39:39" ht="12" customHeight="1">
      <c r="AM321" s="21" t="s">
        <v>311</v>
      </c>
    </row>
    <row r="322" spans="39:39" ht="12" customHeight="1">
      <c r="AM322" s="21" t="s">
        <v>311</v>
      </c>
    </row>
    <row r="323" spans="39:39" ht="12" customHeight="1">
      <c r="AM323" s="21" t="s">
        <v>311</v>
      </c>
    </row>
    <row r="324" spans="39:39" ht="12" customHeight="1">
      <c r="AM324" s="21" t="s">
        <v>311</v>
      </c>
    </row>
    <row r="325" spans="39:39" ht="12" customHeight="1">
      <c r="AM325" s="21" t="s">
        <v>311</v>
      </c>
    </row>
    <row r="326" spans="39:39" ht="12" customHeight="1">
      <c r="AM326" s="21" t="s">
        <v>311</v>
      </c>
    </row>
    <row r="327" spans="39:39" ht="12" customHeight="1">
      <c r="AM327" s="21" t="s">
        <v>311</v>
      </c>
    </row>
    <row r="328" spans="39:39" ht="12" customHeight="1">
      <c r="AM328" s="21" t="s">
        <v>311</v>
      </c>
    </row>
    <row r="329" spans="39:39" ht="12" customHeight="1">
      <c r="AM329" s="21" t="s">
        <v>311</v>
      </c>
    </row>
    <row r="330" spans="39:39" ht="12" customHeight="1">
      <c r="AM330" s="21" t="s">
        <v>311</v>
      </c>
    </row>
    <row r="331" spans="39:39" ht="12" customHeight="1">
      <c r="AM331" s="21" t="s">
        <v>311</v>
      </c>
    </row>
    <row r="332" spans="39:39" ht="12" customHeight="1">
      <c r="AM332" s="21" t="s">
        <v>311</v>
      </c>
    </row>
    <row r="333" spans="39:39" ht="12" customHeight="1">
      <c r="AM333" s="21" t="s">
        <v>311</v>
      </c>
    </row>
    <row r="334" spans="39:39" ht="12" customHeight="1">
      <c r="AM334" s="21" t="s">
        <v>311</v>
      </c>
    </row>
    <row r="335" spans="39:39" ht="12" customHeight="1">
      <c r="AM335" s="21" t="s">
        <v>311</v>
      </c>
    </row>
    <row r="336" spans="39:39" ht="12" customHeight="1">
      <c r="AM336" s="21" t="s">
        <v>311</v>
      </c>
    </row>
    <row r="337" spans="39:39" ht="12" customHeight="1">
      <c r="AM337" s="21" t="s">
        <v>311</v>
      </c>
    </row>
    <row r="338" spans="39:39" ht="12" customHeight="1">
      <c r="AM338" s="21" t="s">
        <v>311</v>
      </c>
    </row>
    <row r="339" spans="39:39" ht="12" customHeight="1">
      <c r="AM339" s="21" t="s">
        <v>311</v>
      </c>
    </row>
    <row r="340" spans="39:39" ht="12" customHeight="1">
      <c r="AM340" s="21" t="s">
        <v>311</v>
      </c>
    </row>
    <row r="341" spans="39:39" ht="12" customHeight="1">
      <c r="AM341" s="21" t="s">
        <v>311</v>
      </c>
    </row>
    <row r="342" spans="39:39" ht="12" customHeight="1">
      <c r="AM342" s="21" t="s">
        <v>311</v>
      </c>
    </row>
    <row r="343" spans="39:39" ht="12" customHeight="1">
      <c r="AM343" s="21" t="s">
        <v>311</v>
      </c>
    </row>
    <row r="344" spans="39:39" ht="12" customHeight="1">
      <c r="AM344" s="21" t="s">
        <v>312</v>
      </c>
    </row>
    <row r="345" spans="39:39" ht="12" customHeight="1"/>
    <row r="346" spans="39:39" ht="12" customHeight="1"/>
    <row r="347" spans="39:39" ht="12" customHeight="1"/>
    <row r="348" spans="39:39" ht="12" customHeight="1"/>
    <row r="349" spans="39:39" ht="12" customHeight="1"/>
    <row r="350" spans="39:39" ht="12" customHeight="1"/>
    <row r="351" spans="39:39" ht="12" customHeight="1"/>
    <row r="352" spans="39:39" ht="12" customHeight="1"/>
    <row r="353" spans="2:30" ht="12" customHeight="1"/>
    <row r="354" spans="2:30" ht="12" customHeight="1"/>
    <row r="355" spans="2:30" ht="12" customHeight="1"/>
    <row r="356" spans="2:30" s="158" customFormat="1" ht="12" customHeight="1">
      <c r="B356" s="149"/>
      <c r="C356" s="52"/>
      <c r="D356" s="150"/>
      <c r="E356" s="52"/>
      <c r="F356" s="21"/>
      <c r="G356" s="53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189"/>
      <c r="U356" s="179"/>
      <c r="V356" s="179"/>
      <c r="W356" s="189"/>
      <c r="X356" s="52"/>
      <c r="Y356" s="52"/>
      <c r="Z356" s="52"/>
      <c r="AA356" s="52"/>
      <c r="AB356" s="195"/>
      <c r="AC356" s="198"/>
      <c r="AD356" s="200"/>
    </row>
    <row r="357" spans="2:30" s="158" customFormat="1" ht="12" customHeight="1">
      <c r="B357" s="149"/>
      <c r="C357" s="52"/>
      <c r="D357" s="150"/>
      <c r="E357" s="52"/>
      <c r="F357" s="21"/>
      <c r="G357" s="53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189"/>
      <c r="U357" s="179"/>
      <c r="V357" s="179"/>
      <c r="W357" s="189"/>
      <c r="X357" s="52"/>
      <c r="Y357" s="52"/>
      <c r="Z357" s="52"/>
      <c r="AA357" s="52"/>
      <c r="AB357" s="195"/>
      <c r="AC357" s="198"/>
      <c r="AD357" s="200"/>
    </row>
    <row r="358" spans="2:30" s="158" customFormat="1" ht="12" customHeight="1">
      <c r="B358" s="149"/>
      <c r="C358" s="52"/>
      <c r="D358" s="150"/>
      <c r="E358" s="52"/>
      <c r="F358" s="21"/>
      <c r="G358" s="53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189"/>
      <c r="U358" s="179"/>
      <c r="V358" s="179"/>
      <c r="W358" s="189"/>
      <c r="X358" s="52"/>
      <c r="Y358" s="52"/>
      <c r="Z358" s="52"/>
      <c r="AA358" s="52"/>
      <c r="AB358" s="195"/>
      <c r="AC358" s="198"/>
      <c r="AD358" s="200"/>
    </row>
    <row r="359" spans="2:30" s="158" customFormat="1" ht="12" customHeight="1">
      <c r="B359" s="149"/>
      <c r="C359" s="52"/>
      <c r="D359" s="150"/>
      <c r="E359" s="52"/>
      <c r="F359" s="21"/>
      <c r="G359" s="53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189"/>
      <c r="U359" s="179"/>
      <c r="V359" s="179"/>
      <c r="W359" s="189"/>
      <c r="X359" s="52"/>
      <c r="Y359" s="52"/>
      <c r="Z359" s="52"/>
      <c r="AA359" s="52"/>
      <c r="AB359" s="195"/>
      <c r="AC359" s="198"/>
      <c r="AD359" s="200"/>
    </row>
    <row r="360" spans="2:30" s="158" customFormat="1" ht="12" customHeight="1">
      <c r="B360" s="149"/>
      <c r="C360" s="52"/>
      <c r="D360" s="150"/>
      <c r="E360" s="52"/>
      <c r="F360" s="21"/>
      <c r="G360" s="53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189"/>
      <c r="U360" s="179"/>
      <c r="V360" s="179"/>
      <c r="W360" s="189"/>
      <c r="X360" s="52"/>
      <c r="Y360" s="52"/>
      <c r="Z360" s="52"/>
      <c r="AA360" s="52"/>
      <c r="AB360" s="195"/>
      <c r="AC360" s="198"/>
      <c r="AD360" s="200"/>
    </row>
    <row r="361" spans="2:30" s="158" customFormat="1" ht="12" customHeight="1">
      <c r="B361" s="149"/>
      <c r="C361" s="52"/>
      <c r="D361" s="150"/>
      <c r="E361" s="52"/>
      <c r="F361" s="21"/>
      <c r="G361" s="53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189"/>
      <c r="U361" s="179"/>
      <c r="V361" s="179"/>
      <c r="W361" s="189"/>
      <c r="X361" s="52"/>
      <c r="Y361" s="52"/>
      <c r="Z361" s="52"/>
      <c r="AA361" s="52"/>
      <c r="AB361" s="195"/>
      <c r="AC361" s="198"/>
      <c r="AD361" s="200"/>
    </row>
    <row r="362" spans="2:30" s="158" customFormat="1" ht="12" customHeight="1">
      <c r="B362" s="149"/>
      <c r="C362" s="52"/>
      <c r="D362" s="150"/>
      <c r="E362" s="52"/>
      <c r="F362" s="21"/>
      <c r="G362" s="53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189"/>
      <c r="U362" s="179"/>
      <c r="V362" s="179"/>
      <c r="W362" s="189"/>
      <c r="X362" s="52"/>
      <c r="Y362" s="52"/>
      <c r="Z362" s="52"/>
      <c r="AA362" s="52"/>
      <c r="AB362" s="195"/>
      <c r="AC362" s="198"/>
      <c r="AD362" s="200"/>
    </row>
    <row r="363" spans="2:30" s="158" customFormat="1" ht="12" customHeight="1">
      <c r="B363" s="149"/>
      <c r="C363" s="52"/>
      <c r="D363" s="150"/>
      <c r="E363" s="52"/>
      <c r="F363" s="21"/>
      <c r="G363" s="53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189"/>
      <c r="U363" s="179"/>
      <c r="V363" s="179"/>
      <c r="W363" s="189"/>
      <c r="X363" s="52"/>
      <c r="Y363" s="52"/>
      <c r="Z363" s="52"/>
      <c r="AA363" s="52"/>
      <c r="AB363" s="195"/>
      <c r="AC363" s="198"/>
      <c r="AD363" s="200"/>
    </row>
    <row r="364" spans="2:30" s="158" customFormat="1" ht="12" customHeight="1">
      <c r="B364" s="149"/>
      <c r="C364" s="52"/>
      <c r="D364" s="150"/>
      <c r="E364" s="52"/>
      <c r="F364" s="21"/>
      <c r="G364" s="53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189"/>
      <c r="U364" s="179"/>
      <c r="V364" s="179"/>
      <c r="W364" s="189"/>
      <c r="X364" s="52"/>
      <c r="Y364" s="52"/>
      <c r="Z364" s="52"/>
      <c r="AA364" s="52"/>
      <c r="AB364" s="195"/>
      <c r="AC364" s="198"/>
      <c r="AD364" s="200"/>
    </row>
    <row r="365" spans="2:30" s="158" customFormat="1" ht="12" customHeight="1">
      <c r="B365" s="149"/>
      <c r="C365" s="52"/>
      <c r="D365" s="150"/>
      <c r="E365" s="52"/>
      <c r="F365" s="21"/>
      <c r="G365" s="53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189"/>
      <c r="U365" s="179"/>
      <c r="V365" s="179"/>
      <c r="W365" s="189"/>
      <c r="X365" s="52"/>
      <c r="Y365" s="52"/>
      <c r="Z365" s="52"/>
      <c r="AA365" s="52"/>
      <c r="AB365" s="195"/>
      <c r="AC365" s="198"/>
      <c r="AD365" s="200"/>
    </row>
    <row r="366" spans="2:30" s="158" customFormat="1" ht="12" customHeight="1">
      <c r="B366" s="149"/>
      <c r="C366" s="52"/>
      <c r="D366" s="150"/>
      <c r="E366" s="52"/>
      <c r="F366" s="21"/>
      <c r="G366" s="53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189"/>
      <c r="U366" s="179"/>
      <c r="V366" s="179"/>
      <c r="W366" s="189"/>
      <c r="X366" s="52"/>
      <c r="Y366" s="52"/>
      <c r="Z366" s="52"/>
      <c r="AA366" s="52"/>
      <c r="AB366" s="195"/>
      <c r="AC366" s="198"/>
      <c r="AD366" s="200"/>
    </row>
    <row r="367" spans="2:30" s="158" customFormat="1" ht="12" customHeight="1">
      <c r="B367" s="149"/>
      <c r="C367" s="52"/>
      <c r="D367" s="150"/>
      <c r="E367" s="52"/>
      <c r="F367" s="21"/>
      <c r="G367" s="53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189"/>
      <c r="U367" s="179"/>
      <c r="V367" s="179"/>
      <c r="W367" s="189"/>
      <c r="X367" s="52"/>
      <c r="Y367" s="52"/>
      <c r="Z367" s="52"/>
      <c r="AA367" s="52"/>
      <c r="AB367" s="195"/>
      <c r="AC367" s="198"/>
      <c r="AD367" s="200"/>
    </row>
    <row r="368" spans="2:30" s="158" customFormat="1" ht="12" customHeight="1">
      <c r="B368" s="149"/>
      <c r="C368" s="52"/>
      <c r="D368" s="150"/>
      <c r="E368" s="52"/>
      <c r="F368" s="21"/>
      <c r="G368" s="53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189"/>
      <c r="U368" s="179"/>
      <c r="V368" s="179"/>
      <c r="W368" s="189"/>
      <c r="X368" s="52"/>
      <c r="Y368" s="52"/>
      <c r="Z368" s="52"/>
      <c r="AA368" s="52"/>
      <c r="AB368" s="195"/>
      <c r="AC368" s="198"/>
      <c r="AD368" s="200"/>
    </row>
    <row r="369" spans="2:30" s="158" customFormat="1" ht="12" customHeight="1">
      <c r="B369" s="149"/>
      <c r="C369" s="52"/>
      <c r="D369" s="150"/>
      <c r="E369" s="52"/>
      <c r="F369" s="21"/>
      <c r="G369" s="53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189"/>
      <c r="U369" s="179"/>
      <c r="V369" s="179"/>
      <c r="W369" s="189"/>
      <c r="X369" s="52"/>
      <c r="Y369" s="52"/>
      <c r="Z369" s="52"/>
      <c r="AA369" s="52"/>
      <c r="AB369" s="195"/>
      <c r="AC369" s="198"/>
      <c r="AD369" s="200"/>
    </row>
    <row r="370" spans="2:30" s="158" customFormat="1" ht="12" customHeight="1">
      <c r="B370" s="149"/>
      <c r="C370" s="52"/>
      <c r="D370" s="150"/>
      <c r="E370" s="52"/>
      <c r="F370" s="21"/>
      <c r="G370" s="53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189"/>
      <c r="U370" s="179"/>
      <c r="V370" s="179"/>
      <c r="W370" s="189"/>
      <c r="X370" s="52"/>
      <c r="Y370" s="52"/>
      <c r="Z370" s="52"/>
      <c r="AA370" s="52"/>
      <c r="AB370" s="195"/>
      <c r="AC370" s="198"/>
      <c r="AD370" s="200"/>
    </row>
    <row r="371" spans="2:30" s="158" customFormat="1" ht="12" customHeight="1">
      <c r="B371" s="149"/>
      <c r="C371" s="52"/>
      <c r="D371" s="150"/>
      <c r="E371" s="52"/>
      <c r="F371" s="21"/>
      <c r="G371" s="53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189"/>
      <c r="U371" s="179"/>
      <c r="V371" s="179"/>
      <c r="W371" s="189"/>
      <c r="X371" s="52"/>
      <c r="Y371" s="52"/>
      <c r="Z371" s="52"/>
      <c r="AA371" s="52"/>
      <c r="AB371" s="195"/>
      <c r="AC371" s="198"/>
      <c r="AD371" s="200"/>
    </row>
    <row r="372" spans="2:30" s="158" customFormat="1" ht="12" customHeight="1">
      <c r="B372" s="149"/>
      <c r="C372" s="52"/>
      <c r="D372" s="150"/>
      <c r="E372" s="52"/>
      <c r="F372" s="21"/>
      <c r="G372" s="53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189"/>
      <c r="U372" s="179"/>
      <c r="V372" s="179"/>
      <c r="W372" s="189"/>
      <c r="X372" s="52"/>
      <c r="Y372" s="52"/>
      <c r="Z372" s="52"/>
      <c r="AA372" s="52"/>
      <c r="AB372" s="195"/>
      <c r="AC372" s="198"/>
      <c r="AD372" s="200"/>
    </row>
    <row r="373" spans="2:30" s="158" customFormat="1" ht="12" customHeight="1">
      <c r="B373" s="149"/>
      <c r="C373" s="52"/>
      <c r="D373" s="150"/>
      <c r="E373" s="52"/>
      <c r="F373" s="21"/>
      <c r="G373" s="53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189"/>
      <c r="U373" s="179"/>
      <c r="V373" s="179"/>
      <c r="W373" s="189"/>
      <c r="X373" s="52"/>
      <c r="Y373" s="52"/>
      <c r="Z373" s="52"/>
      <c r="AA373" s="52"/>
      <c r="AB373" s="195"/>
      <c r="AC373" s="198"/>
      <c r="AD373" s="200"/>
    </row>
    <row r="374" spans="2:30" s="158" customFormat="1" ht="12" customHeight="1">
      <c r="B374" s="149"/>
      <c r="C374" s="52"/>
      <c r="D374" s="150"/>
      <c r="E374" s="52"/>
      <c r="F374" s="21"/>
      <c r="G374" s="53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189"/>
      <c r="U374" s="179"/>
      <c r="V374" s="179"/>
      <c r="W374" s="189"/>
      <c r="X374" s="52"/>
      <c r="Y374" s="52"/>
      <c r="Z374" s="52"/>
      <c r="AA374" s="52"/>
      <c r="AB374" s="195"/>
      <c r="AC374" s="198"/>
      <c r="AD374" s="200"/>
    </row>
    <row r="375" spans="2:30" s="158" customFormat="1" ht="12" customHeight="1">
      <c r="B375" s="149"/>
      <c r="C375" s="52"/>
      <c r="D375" s="150"/>
      <c r="E375" s="52"/>
      <c r="F375" s="21"/>
      <c r="G375" s="53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189"/>
      <c r="U375" s="179"/>
      <c r="V375" s="179"/>
      <c r="W375" s="189"/>
      <c r="X375" s="52"/>
      <c r="Y375" s="52"/>
      <c r="Z375" s="52"/>
      <c r="AA375" s="52"/>
      <c r="AB375" s="195"/>
      <c r="AC375" s="198"/>
      <c r="AD375" s="200"/>
    </row>
    <row r="376" spans="2:30" s="158" customFormat="1" ht="12" customHeight="1">
      <c r="B376" s="149"/>
      <c r="C376" s="52"/>
      <c r="D376" s="150"/>
      <c r="E376" s="52"/>
      <c r="F376" s="21"/>
      <c r="G376" s="53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189"/>
      <c r="U376" s="179"/>
      <c r="V376" s="179"/>
      <c r="W376" s="189"/>
      <c r="X376" s="52"/>
      <c r="Y376" s="52"/>
      <c r="Z376" s="52"/>
      <c r="AA376" s="52"/>
      <c r="AB376" s="195"/>
      <c r="AC376" s="198"/>
      <c r="AD376" s="200"/>
    </row>
    <row r="377" spans="2:30" s="158" customFormat="1" ht="12" customHeight="1">
      <c r="B377" s="149"/>
      <c r="C377" s="52"/>
      <c r="D377" s="150"/>
      <c r="E377" s="52"/>
      <c r="F377" s="21"/>
      <c r="G377" s="53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189"/>
      <c r="U377" s="179"/>
      <c r="V377" s="179"/>
      <c r="W377" s="189"/>
      <c r="X377" s="52"/>
      <c r="Y377" s="52"/>
      <c r="Z377" s="52"/>
      <c r="AA377" s="52"/>
      <c r="AB377" s="195"/>
      <c r="AC377" s="198"/>
      <c r="AD377" s="200"/>
    </row>
    <row r="378" spans="2:30" s="158" customFormat="1" ht="12" customHeight="1">
      <c r="B378" s="149"/>
      <c r="C378" s="52"/>
      <c r="D378" s="150"/>
      <c r="E378" s="52"/>
      <c r="F378" s="21"/>
      <c r="G378" s="53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189"/>
      <c r="U378" s="179"/>
      <c r="V378" s="179"/>
      <c r="W378" s="189"/>
      <c r="X378" s="52"/>
      <c r="Y378" s="52"/>
      <c r="Z378" s="52"/>
      <c r="AA378" s="52"/>
      <c r="AB378" s="195"/>
      <c r="AC378" s="198"/>
      <c r="AD378" s="200"/>
    </row>
    <row r="379" spans="2:30" s="158" customFormat="1" ht="12" customHeight="1">
      <c r="B379" s="149"/>
      <c r="C379" s="52"/>
      <c r="D379" s="150"/>
      <c r="E379" s="52"/>
      <c r="F379" s="21"/>
      <c r="G379" s="53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189"/>
      <c r="U379" s="179"/>
      <c r="V379" s="179"/>
      <c r="W379" s="189"/>
      <c r="X379" s="52"/>
      <c r="Y379" s="52"/>
      <c r="Z379" s="52"/>
      <c r="AA379" s="52"/>
      <c r="AB379" s="195"/>
      <c r="AC379" s="198"/>
      <c r="AD379" s="200"/>
    </row>
    <row r="380" spans="2:30" s="158" customFormat="1" ht="12" customHeight="1">
      <c r="B380" s="149"/>
      <c r="C380" s="52"/>
      <c r="D380" s="150"/>
      <c r="E380" s="52"/>
      <c r="F380" s="21"/>
      <c r="G380" s="53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189"/>
      <c r="U380" s="179"/>
      <c r="V380" s="179"/>
      <c r="W380" s="189"/>
      <c r="X380" s="52"/>
      <c r="Y380" s="52"/>
      <c r="Z380" s="52"/>
      <c r="AA380" s="52"/>
      <c r="AB380" s="195"/>
      <c r="AC380" s="198"/>
      <c r="AD380" s="200"/>
    </row>
    <row r="381" spans="2:30" s="158" customFormat="1" ht="12" customHeight="1">
      <c r="B381" s="149"/>
      <c r="C381" s="52"/>
      <c r="D381" s="150"/>
      <c r="E381" s="52"/>
      <c r="F381" s="21"/>
      <c r="G381" s="53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189"/>
      <c r="U381" s="179"/>
      <c r="V381" s="179"/>
      <c r="W381" s="189"/>
      <c r="X381" s="52"/>
      <c r="Y381" s="52"/>
      <c r="Z381" s="52"/>
      <c r="AA381" s="52"/>
      <c r="AB381" s="195"/>
      <c r="AC381" s="198"/>
      <c r="AD381" s="200"/>
    </row>
    <row r="382" spans="2:30" s="158" customFormat="1" ht="12" customHeight="1">
      <c r="B382" s="149"/>
      <c r="C382" s="52"/>
      <c r="D382" s="150"/>
      <c r="E382" s="52"/>
      <c r="F382" s="21"/>
      <c r="G382" s="53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189"/>
      <c r="U382" s="179"/>
      <c r="V382" s="179"/>
      <c r="W382" s="189"/>
      <c r="X382" s="52"/>
      <c r="Y382" s="52"/>
      <c r="Z382" s="52"/>
      <c r="AA382" s="52"/>
      <c r="AB382" s="195"/>
      <c r="AC382" s="198"/>
      <c r="AD382" s="200"/>
    </row>
    <row r="383" spans="2:30" s="158" customFormat="1" ht="12" customHeight="1">
      <c r="B383" s="149"/>
      <c r="C383" s="52"/>
      <c r="D383" s="150"/>
      <c r="E383" s="52"/>
      <c r="F383" s="21"/>
      <c r="G383" s="53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189"/>
      <c r="U383" s="179"/>
      <c r="V383" s="179"/>
      <c r="W383" s="189"/>
      <c r="X383" s="52"/>
      <c r="Y383" s="52"/>
      <c r="Z383" s="52"/>
      <c r="AA383" s="52"/>
      <c r="AB383" s="195"/>
      <c r="AC383" s="198"/>
      <c r="AD383" s="200"/>
    </row>
    <row r="384" spans="2:30" s="158" customFormat="1" ht="12" customHeight="1">
      <c r="B384" s="149"/>
      <c r="C384" s="52"/>
      <c r="D384" s="150"/>
      <c r="E384" s="52"/>
      <c r="F384" s="21"/>
      <c r="G384" s="53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189"/>
      <c r="U384" s="179"/>
      <c r="V384" s="179"/>
      <c r="W384" s="189"/>
      <c r="X384" s="52"/>
      <c r="Y384" s="52"/>
      <c r="Z384" s="52"/>
      <c r="AA384" s="52"/>
      <c r="AB384" s="195"/>
      <c r="AC384" s="198"/>
      <c r="AD384" s="200"/>
    </row>
    <row r="385" spans="2:30" s="158" customFormat="1" ht="12" customHeight="1">
      <c r="B385" s="149"/>
      <c r="C385" s="52"/>
      <c r="D385" s="150"/>
      <c r="E385" s="52"/>
      <c r="F385" s="21"/>
      <c r="G385" s="53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189"/>
      <c r="U385" s="179"/>
      <c r="V385" s="179"/>
      <c r="W385" s="189"/>
      <c r="X385" s="52"/>
      <c r="Y385" s="52"/>
      <c r="Z385" s="52"/>
      <c r="AA385" s="52"/>
      <c r="AB385" s="195"/>
      <c r="AC385" s="198"/>
      <c r="AD385" s="200"/>
    </row>
    <row r="386" spans="2:30" s="158" customFormat="1" ht="12" customHeight="1">
      <c r="B386" s="149"/>
      <c r="C386" s="52"/>
      <c r="D386" s="150"/>
      <c r="E386" s="52"/>
      <c r="F386" s="21"/>
      <c r="G386" s="53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189"/>
      <c r="U386" s="179"/>
      <c r="V386" s="179"/>
      <c r="W386" s="189"/>
      <c r="X386" s="52"/>
      <c r="Y386" s="52"/>
      <c r="Z386" s="52"/>
      <c r="AA386" s="52"/>
      <c r="AB386" s="195"/>
      <c r="AC386" s="198"/>
      <c r="AD386" s="200"/>
    </row>
    <row r="387" spans="2:30" s="158" customFormat="1" ht="12" customHeight="1">
      <c r="B387" s="149"/>
      <c r="C387" s="52"/>
      <c r="D387" s="150"/>
      <c r="E387" s="52"/>
      <c r="F387" s="21"/>
      <c r="G387" s="53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189"/>
      <c r="U387" s="179"/>
      <c r="V387" s="179"/>
      <c r="W387" s="189"/>
      <c r="X387" s="52"/>
      <c r="Y387" s="52"/>
      <c r="Z387" s="52"/>
      <c r="AA387" s="52"/>
      <c r="AB387" s="195"/>
      <c r="AC387" s="198"/>
      <c r="AD387" s="200"/>
    </row>
    <row r="388" spans="2:30" s="158" customFormat="1" ht="12" customHeight="1">
      <c r="B388" s="149"/>
      <c r="C388" s="52"/>
      <c r="D388" s="150"/>
      <c r="E388" s="52"/>
      <c r="F388" s="21"/>
      <c r="G388" s="53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189"/>
      <c r="U388" s="179"/>
      <c r="V388" s="179"/>
      <c r="W388" s="189"/>
      <c r="X388" s="52"/>
      <c r="Y388" s="52"/>
      <c r="Z388" s="52"/>
      <c r="AA388" s="52"/>
      <c r="AB388" s="195"/>
      <c r="AC388" s="198"/>
      <c r="AD388" s="200"/>
    </row>
    <row r="389" spans="2:30" s="158" customFormat="1" ht="12" customHeight="1">
      <c r="B389" s="149"/>
      <c r="C389" s="52"/>
      <c r="D389" s="150"/>
      <c r="E389" s="52"/>
      <c r="F389" s="21"/>
      <c r="G389" s="53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189"/>
      <c r="U389" s="179"/>
      <c r="V389" s="179"/>
      <c r="W389" s="189"/>
      <c r="X389" s="52"/>
      <c r="Y389" s="52"/>
      <c r="Z389" s="52"/>
      <c r="AA389" s="52"/>
      <c r="AB389" s="195"/>
      <c r="AC389" s="198"/>
      <c r="AD389" s="200"/>
    </row>
    <row r="390" spans="2:30" s="158" customFormat="1" ht="12" customHeight="1">
      <c r="B390" s="149"/>
      <c r="C390" s="52"/>
      <c r="D390" s="150"/>
      <c r="E390" s="52"/>
      <c r="F390" s="21"/>
      <c r="G390" s="53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189"/>
      <c r="U390" s="179"/>
      <c r="V390" s="179"/>
      <c r="W390" s="189"/>
      <c r="X390" s="52"/>
      <c r="Y390" s="52"/>
      <c r="Z390" s="52"/>
      <c r="AA390" s="52"/>
      <c r="AB390" s="195"/>
      <c r="AC390" s="198"/>
      <c r="AD390" s="200"/>
    </row>
    <row r="391" spans="2:30" s="158" customFormat="1" ht="12" customHeight="1">
      <c r="B391" s="149"/>
      <c r="C391" s="52"/>
      <c r="D391" s="150"/>
      <c r="E391" s="52"/>
      <c r="F391" s="21"/>
      <c r="G391" s="53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189"/>
      <c r="U391" s="179"/>
      <c r="V391" s="179"/>
      <c r="W391" s="189"/>
      <c r="X391" s="52"/>
      <c r="Y391" s="52"/>
      <c r="Z391" s="52"/>
      <c r="AA391" s="52"/>
      <c r="AB391" s="195"/>
      <c r="AC391" s="198"/>
      <c r="AD391" s="200"/>
    </row>
    <row r="392" spans="2:30" s="158" customFormat="1" ht="12" customHeight="1">
      <c r="B392" s="149"/>
      <c r="C392" s="52"/>
      <c r="D392" s="150"/>
      <c r="E392" s="52"/>
      <c r="F392" s="21"/>
      <c r="G392" s="53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189"/>
      <c r="U392" s="179"/>
      <c r="V392" s="179"/>
      <c r="W392" s="189"/>
      <c r="X392" s="52"/>
      <c r="Y392" s="52"/>
      <c r="Z392" s="52"/>
      <c r="AA392" s="52"/>
      <c r="AB392" s="195"/>
      <c r="AC392" s="198"/>
      <c r="AD392" s="200"/>
    </row>
    <row r="393" spans="2:30" s="158" customFormat="1" ht="12" customHeight="1">
      <c r="B393" s="149"/>
      <c r="C393" s="52"/>
      <c r="D393" s="150"/>
      <c r="E393" s="52"/>
      <c r="F393" s="21"/>
      <c r="G393" s="53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189"/>
      <c r="U393" s="179"/>
      <c r="V393" s="179"/>
      <c r="W393" s="189"/>
      <c r="X393" s="52"/>
      <c r="Y393" s="52"/>
      <c r="Z393" s="52"/>
      <c r="AA393" s="52"/>
      <c r="AB393" s="195"/>
      <c r="AC393" s="198"/>
      <c r="AD393" s="200"/>
    </row>
    <row r="394" spans="2:30" s="158" customFormat="1" ht="12" customHeight="1">
      <c r="B394" s="149"/>
      <c r="C394" s="52"/>
      <c r="D394" s="150"/>
      <c r="E394" s="52"/>
      <c r="F394" s="21"/>
      <c r="G394" s="53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189"/>
      <c r="U394" s="179"/>
      <c r="V394" s="179"/>
      <c r="W394" s="189"/>
      <c r="X394" s="52"/>
      <c r="Y394" s="52"/>
      <c r="Z394" s="52"/>
      <c r="AA394" s="52"/>
      <c r="AB394" s="195"/>
      <c r="AC394" s="198"/>
      <c r="AD394" s="200"/>
    </row>
  </sheetData>
  <autoFilter ref="AE1:AE394" xr:uid="{00000000-0009-0000-0000-000002000000}"/>
  <mergeCells count="90">
    <mergeCell ref="D15:D18"/>
    <mergeCell ref="D19:D22"/>
    <mergeCell ref="D23:D26"/>
    <mergeCell ref="F1:F2"/>
    <mergeCell ref="E1:E2"/>
    <mergeCell ref="U1:U2"/>
    <mergeCell ref="G1:G2"/>
    <mergeCell ref="H1:J2"/>
    <mergeCell ref="K1:K2"/>
    <mergeCell ref="L1:L2"/>
    <mergeCell ref="M1:M2"/>
    <mergeCell ref="N1:N2"/>
    <mergeCell ref="O1:O2"/>
    <mergeCell ref="P1:P2"/>
    <mergeCell ref="Q1:R2"/>
    <mergeCell ref="S1:S2"/>
    <mergeCell ref="T1:T2"/>
    <mergeCell ref="B1:B2"/>
    <mergeCell ref="D3:D6"/>
    <mergeCell ref="D11:D14"/>
    <mergeCell ref="D7:D10"/>
    <mergeCell ref="A1:A2"/>
    <mergeCell ref="C1:C2"/>
    <mergeCell ref="D1:D2"/>
    <mergeCell ref="AE1:AE2"/>
    <mergeCell ref="AF1:AF2"/>
    <mergeCell ref="AG1:AG2"/>
    <mergeCell ref="V1:V2"/>
    <mergeCell ref="W1:W2"/>
    <mergeCell ref="X1:X2"/>
    <mergeCell ref="Y1:Y2"/>
    <mergeCell ref="Z1:Z2"/>
    <mergeCell ref="AB1:AB2"/>
    <mergeCell ref="AA1:AA2"/>
    <mergeCell ref="AF37:AF44"/>
    <mergeCell ref="AG37:AG52"/>
    <mergeCell ref="AB27:AB42"/>
    <mergeCell ref="AB43:AB50"/>
    <mergeCell ref="AB3:AB6"/>
    <mergeCell ref="AB11:AB12"/>
    <mergeCell ref="AB13:AB14"/>
    <mergeCell ref="AF4:AF6"/>
    <mergeCell ref="AG4:AG6"/>
    <mergeCell ref="AF27:AF35"/>
    <mergeCell ref="AG27:AG35"/>
    <mergeCell ref="AF24:AF26"/>
    <mergeCell ref="AG24:AG26"/>
    <mergeCell ref="AB7:AB10"/>
    <mergeCell ref="AG8:AG10"/>
    <mergeCell ref="AF11:AF13"/>
    <mergeCell ref="AG59:AG67"/>
    <mergeCell ref="AF69:AF74"/>
    <mergeCell ref="AG69:AG74"/>
    <mergeCell ref="AF59:AF67"/>
    <mergeCell ref="AB96:AB100"/>
    <mergeCell ref="AB75:AB95"/>
    <mergeCell ref="AB51:AB62"/>
    <mergeCell ref="AB63:AB68"/>
    <mergeCell ref="AB69:AB74"/>
    <mergeCell ref="AG11:AG13"/>
    <mergeCell ref="AG19:AG21"/>
    <mergeCell ref="AF19:AF21"/>
    <mergeCell ref="AF16:AF18"/>
    <mergeCell ref="AG16:AG18"/>
    <mergeCell ref="AF8:AF10"/>
    <mergeCell ref="AB15:AB18"/>
    <mergeCell ref="AB19:AB20"/>
    <mergeCell ref="AB21:AB22"/>
    <mergeCell ref="AB23:AB26"/>
    <mergeCell ref="AB107:AB114"/>
    <mergeCell ref="AB115:AB122"/>
    <mergeCell ref="AB101:AB105"/>
    <mergeCell ref="D171:D186"/>
    <mergeCell ref="D155:D170"/>
    <mergeCell ref="D139:D154"/>
    <mergeCell ref="D123:D138"/>
    <mergeCell ref="D107:D122"/>
    <mergeCell ref="AB160:AB164"/>
    <mergeCell ref="AB165:AB169"/>
    <mergeCell ref="AB171:AB178"/>
    <mergeCell ref="AB179:AB186"/>
    <mergeCell ref="AB128:AB132"/>
    <mergeCell ref="AB133:AB137"/>
    <mergeCell ref="AB139:AB146"/>
    <mergeCell ref="AB147:AB154"/>
    <mergeCell ref="D27:D42"/>
    <mergeCell ref="D43:D58"/>
    <mergeCell ref="D59:D74"/>
    <mergeCell ref="D75:D90"/>
    <mergeCell ref="D91:D106"/>
  </mergeCells>
  <phoneticPr fontId="44" type="noConversion"/>
  <conditionalFormatting sqref="B3:B4">
    <cfRule type="duplicateValues" dxfId="97" priority="241"/>
  </conditionalFormatting>
  <conditionalFormatting sqref="B6">
    <cfRule type="duplicateValues" dxfId="96" priority="240"/>
  </conditionalFormatting>
  <conditionalFormatting sqref="B6">
    <cfRule type="duplicateValues" dxfId="95" priority="239"/>
  </conditionalFormatting>
  <conditionalFormatting sqref="B10:B11">
    <cfRule type="duplicateValues" dxfId="94" priority="238"/>
  </conditionalFormatting>
  <conditionalFormatting sqref="B10:B11">
    <cfRule type="duplicateValues" dxfId="93" priority="237"/>
  </conditionalFormatting>
  <conditionalFormatting sqref="B13">
    <cfRule type="duplicateValues" dxfId="92" priority="235"/>
  </conditionalFormatting>
  <conditionalFormatting sqref="B13">
    <cfRule type="duplicateValues" dxfId="91" priority="236"/>
  </conditionalFormatting>
  <conditionalFormatting sqref="B14">
    <cfRule type="duplicateValues" dxfId="90" priority="233"/>
  </conditionalFormatting>
  <conditionalFormatting sqref="B14">
    <cfRule type="duplicateValues" dxfId="89" priority="234"/>
  </conditionalFormatting>
  <conditionalFormatting sqref="B7:B9">
    <cfRule type="duplicateValues" dxfId="88" priority="242"/>
  </conditionalFormatting>
  <conditionalFormatting sqref="B12">
    <cfRule type="duplicateValues" dxfId="87" priority="232"/>
  </conditionalFormatting>
  <conditionalFormatting sqref="B12">
    <cfRule type="duplicateValues" dxfId="86" priority="231"/>
  </conditionalFormatting>
  <conditionalFormatting sqref="B5">
    <cfRule type="duplicateValues" dxfId="85" priority="229"/>
  </conditionalFormatting>
  <conditionalFormatting sqref="B5">
    <cfRule type="duplicateValues" dxfId="84" priority="230"/>
  </conditionalFormatting>
  <conditionalFormatting sqref="B18:B19">
    <cfRule type="duplicateValues" dxfId="83" priority="189"/>
  </conditionalFormatting>
  <conditionalFormatting sqref="B18:B19">
    <cfRule type="duplicateValues" dxfId="82" priority="188"/>
  </conditionalFormatting>
  <conditionalFormatting sqref="B21">
    <cfRule type="duplicateValues" dxfId="81" priority="186"/>
  </conditionalFormatting>
  <conditionalFormatting sqref="B21">
    <cfRule type="duplicateValues" dxfId="80" priority="187"/>
  </conditionalFormatting>
  <conditionalFormatting sqref="B22">
    <cfRule type="duplicateValues" dxfId="79" priority="184"/>
  </conditionalFormatting>
  <conditionalFormatting sqref="B22">
    <cfRule type="duplicateValues" dxfId="78" priority="185"/>
  </conditionalFormatting>
  <conditionalFormatting sqref="B15:B17">
    <cfRule type="duplicateValues" dxfId="77" priority="190"/>
  </conditionalFormatting>
  <conditionalFormatting sqref="B20">
    <cfRule type="duplicateValues" dxfId="76" priority="183"/>
  </conditionalFormatting>
  <conditionalFormatting sqref="B20:B22">
    <cfRule type="duplicateValues" dxfId="75" priority="182"/>
  </conditionalFormatting>
  <conditionalFormatting sqref="B15:B17">
    <cfRule type="duplicateValues" dxfId="74" priority="191"/>
  </conditionalFormatting>
  <conditionalFormatting sqref="B35:B38">
    <cfRule type="duplicateValues" dxfId="73" priority="245"/>
  </conditionalFormatting>
  <conditionalFormatting sqref="B35:B37">
    <cfRule type="duplicateValues" dxfId="72" priority="246"/>
  </conditionalFormatting>
  <conditionalFormatting sqref="B10:B11">
    <cfRule type="duplicateValues" dxfId="71" priority="123"/>
  </conditionalFormatting>
  <conditionalFormatting sqref="B10:B11">
    <cfRule type="duplicateValues" dxfId="70" priority="122"/>
  </conditionalFormatting>
  <conditionalFormatting sqref="B13">
    <cfRule type="duplicateValues" dxfId="69" priority="120"/>
  </conditionalFormatting>
  <conditionalFormatting sqref="B13">
    <cfRule type="duplicateValues" dxfId="68" priority="121"/>
  </conditionalFormatting>
  <conditionalFormatting sqref="B14">
    <cfRule type="duplicateValues" dxfId="67" priority="118"/>
  </conditionalFormatting>
  <conditionalFormatting sqref="B14">
    <cfRule type="duplicateValues" dxfId="66" priority="119"/>
  </conditionalFormatting>
  <conditionalFormatting sqref="B7:B9">
    <cfRule type="duplicateValues" dxfId="65" priority="124"/>
  </conditionalFormatting>
  <conditionalFormatting sqref="B12">
    <cfRule type="duplicateValues" dxfId="64" priority="117"/>
  </conditionalFormatting>
  <conditionalFormatting sqref="B12:B14">
    <cfRule type="duplicateValues" dxfId="63" priority="116"/>
  </conditionalFormatting>
  <conditionalFormatting sqref="B7:B9">
    <cfRule type="duplicateValues" dxfId="62" priority="125"/>
  </conditionalFormatting>
  <conditionalFormatting sqref="B18:B19">
    <cfRule type="duplicateValues" dxfId="61" priority="113"/>
  </conditionalFormatting>
  <conditionalFormatting sqref="B18:B19">
    <cfRule type="duplicateValues" dxfId="60" priority="112"/>
  </conditionalFormatting>
  <conditionalFormatting sqref="B21">
    <cfRule type="duplicateValues" dxfId="59" priority="110"/>
  </conditionalFormatting>
  <conditionalFormatting sqref="B21">
    <cfRule type="duplicateValues" dxfId="58" priority="111"/>
  </conditionalFormatting>
  <conditionalFormatting sqref="B22">
    <cfRule type="duplicateValues" dxfId="57" priority="108"/>
  </conditionalFormatting>
  <conditionalFormatting sqref="B22">
    <cfRule type="duplicateValues" dxfId="56" priority="109"/>
  </conditionalFormatting>
  <conditionalFormatting sqref="B15:B17">
    <cfRule type="duplicateValues" dxfId="55" priority="114"/>
  </conditionalFormatting>
  <conditionalFormatting sqref="B20">
    <cfRule type="duplicateValues" dxfId="54" priority="107"/>
  </conditionalFormatting>
  <conditionalFormatting sqref="B20">
    <cfRule type="duplicateValues" dxfId="53" priority="106"/>
  </conditionalFormatting>
  <conditionalFormatting sqref="B15:B17">
    <cfRule type="duplicateValues" dxfId="52" priority="115"/>
  </conditionalFormatting>
  <conditionalFormatting sqref="B23:B26">
    <cfRule type="duplicateValues" dxfId="51" priority="104"/>
  </conditionalFormatting>
  <conditionalFormatting sqref="B23:B26">
    <cfRule type="duplicateValues" dxfId="50" priority="105"/>
  </conditionalFormatting>
  <conditionalFormatting sqref="B187:B1048576 B1">
    <cfRule type="duplicateValues" dxfId="49" priority="277"/>
  </conditionalFormatting>
  <conditionalFormatting sqref="B71 B66">
    <cfRule type="duplicateValues" dxfId="48" priority="279"/>
  </conditionalFormatting>
  <conditionalFormatting sqref="B105">
    <cfRule type="duplicateValues" dxfId="47" priority="281"/>
  </conditionalFormatting>
  <conditionalFormatting sqref="B107:B112">
    <cfRule type="duplicateValues" dxfId="46" priority="283"/>
  </conditionalFormatting>
  <conditionalFormatting sqref="B113:B114">
    <cfRule type="duplicateValues" dxfId="45" priority="285"/>
  </conditionalFormatting>
  <conditionalFormatting sqref="B91">
    <cfRule type="duplicateValues" dxfId="44" priority="287"/>
  </conditionalFormatting>
  <conditionalFormatting sqref="B95">
    <cfRule type="duplicateValues" dxfId="43" priority="289"/>
  </conditionalFormatting>
  <conditionalFormatting sqref="B92:B94">
    <cfRule type="duplicateValues" dxfId="42" priority="291"/>
  </conditionalFormatting>
  <conditionalFormatting sqref="B115:B120">
    <cfRule type="duplicateValues" dxfId="41" priority="293"/>
  </conditionalFormatting>
  <conditionalFormatting sqref="B121:B122">
    <cfRule type="duplicateValues" dxfId="40" priority="295"/>
  </conditionalFormatting>
  <conditionalFormatting sqref="B101">
    <cfRule type="duplicateValues" dxfId="39" priority="297"/>
  </conditionalFormatting>
  <conditionalFormatting sqref="B99">
    <cfRule type="duplicateValues" dxfId="38" priority="299"/>
  </conditionalFormatting>
  <conditionalFormatting sqref="B96:B98">
    <cfRule type="duplicateValues" dxfId="37" priority="301"/>
  </conditionalFormatting>
  <conditionalFormatting sqref="B98">
    <cfRule type="duplicateValues" dxfId="36" priority="303"/>
  </conditionalFormatting>
  <conditionalFormatting sqref="B96:B97">
    <cfRule type="duplicateValues" dxfId="35" priority="304"/>
  </conditionalFormatting>
  <conditionalFormatting sqref="B102:B103">
    <cfRule type="duplicateValues" dxfId="34" priority="306"/>
  </conditionalFormatting>
  <conditionalFormatting sqref="B100">
    <cfRule type="duplicateValues" dxfId="33" priority="308"/>
  </conditionalFormatting>
  <conditionalFormatting sqref="B106">
    <cfRule type="duplicateValues" dxfId="32" priority="312"/>
  </conditionalFormatting>
  <conditionalFormatting sqref="B60">
    <cfRule type="duplicateValues" dxfId="31" priority="316"/>
  </conditionalFormatting>
  <conditionalFormatting sqref="B68">
    <cfRule type="duplicateValues" dxfId="30" priority="318"/>
  </conditionalFormatting>
  <conditionalFormatting sqref="B74 B90">
    <cfRule type="duplicateValues" dxfId="29" priority="319"/>
  </conditionalFormatting>
  <conditionalFormatting sqref="B67 B39:B40">
    <cfRule type="duplicateValues" dxfId="28" priority="321"/>
  </conditionalFormatting>
  <conditionalFormatting sqref="B49:B54 B67 B39:B41 B69 B3:B4 B1 B7:B9 B187:B1048576 B27:B34 B99 B104:B105 B101 B61:B65">
    <cfRule type="duplicateValues" dxfId="27" priority="323"/>
  </conditionalFormatting>
  <conditionalFormatting sqref="B75:B77">
    <cfRule type="duplicateValues" dxfId="26" priority="336"/>
  </conditionalFormatting>
  <conditionalFormatting sqref="B75:B77 B71 B66">
    <cfRule type="duplicateValues" dxfId="25" priority="337"/>
  </conditionalFormatting>
  <conditionalFormatting sqref="B58">
    <cfRule type="duplicateValues" dxfId="24" priority="340"/>
  </conditionalFormatting>
  <conditionalFormatting sqref="B59 B55:B57">
    <cfRule type="duplicateValues" dxfId="23" priority="342"/>
  </conditionalFormatting>
  <conditionalFormatting sqref="B48">
    <cfRule type="duplicateValues" dxfId="22" priority="344"/>
  </conditionalFormatting>
  <conditionalFormatting sqref="B61:B63">
    <cfRule type="duplicateValues" dxfId="21" priority="346"/>
  </conditionalFormatting>
  <conditionalFormatting sqref="B49:B54">
    <cfRule type="duplicateValues" dxfId="20" priority="347"/>
  </conditionalFormatting>
  <conditionalFormatting sqref="B59:B60 B55:B57">
    <cfRule type="duplicateValues" dxfId="19" priority="349"/>
  </conditionalFormatting>
  <conditionalFormatting sqref="B99 B104:B105 B101">
    <cfRule type="duplicateValues" dxfId="18" priority="351"/>
  </conditionalFormatting>
  <conditionalFormatting sqref="B78:B89">
    <cfRule type="duplicateValues" dxfId="17" priority="354"/>
  </conditionalFormatting>
  <conditionalFormatting sqref="B123">
    <cfRule type="duplicateValues" dxfId="16" priority="356"/>
  </conditionalFormatting>
  <conditionalFormatting sqref="B127">
    <cfRule type="duplicateValues" dxfId="15" priority="358"/>
  </conditionalFormatting>
  <conditionalFormatting sqref="B124:B126">
    <cfRule type="duplicateValues" dxfId="14" priority="360"/>
  </conditionalFormatting>
  <conditionalFormatting sqref="B133">
    <cfRule type="duplicateValues" dxfId="13" priority="362"/>
  </conditionalFormatting>
  <conditionalFormatting sqref="B131">
    <cfRule type="duplicateValues" dxfId="12" priority="364"/>
  </conditionalFormatting>
  <conditionalFormatting sqref="B128:B130">
    <cfRule type="duplicateValues" dxfId="11" priority="366"/>
  </conditionalFormatting>
  <conditionalFormatting sqref="B130">
    <cfRule type="duplicateValues" dxfId="10" priority="368"/>
  </conditionalFormatting>
  <conditionalFormatting sqref="B128:B129">
    <cfRule type="duplicateValues" dxfId="9" priority="369"/>
  </conditionalFormatting>
  <conditionalFormatting sqref="B143:B163">
    <cfRule type="duplicateValues" dxfId="8" priority="371"/>
  </conditionalFormatting>
  <conditionalFormatting sqref="B132">
    <cfRule type="duplicateValues" dxfId="7" priority="373"/>
  </conditionalFormatting>
  <conditionalFormatting sqref="B131 B133">
    <cfRule type="duplicateValues" dxfId="6" priority="377"/>
  </conditionalFormatting>
  <conditionalFormatting sqref="B165:B184">
    <cfRule type="duplicateValues" dxfId="5" priority="380"/>
  </conditionalFormatting>
  <conditionalFormatting sqref="B185:B186">
    <cfRule type="duplicateValues" dxfId="4" priority="382"/>
  </conditionalFormatting>
  <conditionalFormatting sqref="B69 B61:B65 B41 B27:B34">
    <cfRule type="duplicateValues" dxfId="3" priority="384"/>
  </conditionalFormatting>
  <conditionalFormatting sqref="B178:B179 B164:B165">
    <cfRule type="duplicateValues" dxfId="2" priority="388"/>
  </conditionalFormatting>
  <conditionalFormatting sqref="B134:B139 B141:B142">
    <cfRule type="duplicateValues" dxfId="1" priority="390"/>
  </conditionalFormatting>
  <conditionalFormatting sqref="B140">
    <cfRule type="duplicateValues" dxfId="0" priority="392"/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3" fitToHeight="0" orientation="landscape" r:id="rId1"/>
  <headerFooter scaleWithDoc="0" alignWithMargins="0">
    <oddFooter>&amp;L&amp;F&amp;C&amp;A&amp;RSh. &amp;P of &amp;N</oddFooter>
  </headerFooter>
  <rowBreaks count="2" manualBreakCount="2">
    <brk id="58" max="26" man="1"/>
    <brk id="122" max="26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106C364DC6544DA93F564AA3C994F7" ma:contentTypeVersion="9" ma:contentTypeDescription="Create a new document." ma:contentTypeScope="" ma:versionID="26dd951d29c090428e412598227381ee">
  <xsd:schema xmlns:xsd="http://www.w3.org/2001/XMLSchema" xmlns:xs="http://www.w3.org/2001/XMLSchema" xmlns:p="http://schemas.microsoft.com/office/2006/metadata/properties" xmlns:ns3="df791e61-5d13-4682-b289-58b6c212068a" xmlns:ns4="713f450a-6208-46be-9127-394b843d940c" targetNamespace="http://schemas.microsoft.com/office/2006/metadata/properties" ma:root="true" ma:fieldsID="5554aae3b8d33c494f66cdd18e881ffd" ns3:_="" ns4:_="">
    <xsd:import namespace="df791e61-5d13-4682-b289-58b6c212068a"/>
    <xsd:import namespace="713f450a-6208-46be-9127-394b843d940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791e61-5d13-4682-b289-58b6c212068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3f450a-6208-46be-9127-394b843d94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7936576-5CAA-4699-93F1-261427ABCE1F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713f450a-6208-46be-9127-394b843d940c"/>
    <ds:schemaRef ds:uri="http://www.w3.org/XML/1998/namespace"/>
    <ds:schemaRef ds:uri="df791e61-5d13-4682-b289-58b6c212068a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E23F53E-4BF3-4A6B-ACC5-502FAA0281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B27A6C-F1F9-4A3E-9EB3-6BB3E75029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791e61-5d13-4682-b289-58b6c212068a"/>
    <ds:schemaRef ds:uri="713f450a-6208-46be-9127-394b843d94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3</vt:i4>
      </vt:variant>
    </vt:vector>
  </HeadingPairs>
  <TitlesOfParts>
    <vt:vector size="6" baseType="lpstr">
      <vt:lpstr>COVER SHEET</vt:lpstr>
      <vt:lpstr>Notes</vt:lpstr>
      <vt:lpstr>PLC HARDWIRED IO LIST</vt:lpstr>
      <vt:lpstr>Notes!Area_stampa</vt:lpstr>
      <vt:lpstr>'PLC HARDWIRED IO LIST'!Area_stampa</vt:lpstr>
      <vt:lpstr>'PLC HARDWIRED IO LIST'!Titoli_stampa</vt:lpstr>
    </vt:vector>
  </TitlesOfParts>
  <Manager/>
  <Company>Sazeh Consultants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Casà Domenico</dc:creator>
  <cp:keywords/>
  <dc:description/>
  <cp:lastModifiedBy>martinelli.mdj@gmail.com</cp:lastModifiedBy>
  <cp:revision/>
  <cp:lastPrinted>2020-05-29T12:49:09Z</cp:lastPrinted>
  <dcterms:created xsi:type="dcterms:W3CDTF">2001-11-12T08:17:43Z</dcterms:created>
  <dcterms:modified xsi:type="dcterms:W3CDTF">2020-12-07T01:12:36Z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0x010100F4106C364DC6544DA93F564AA3C994F7</vt:lpwstr>
  </property>
</Properties>
</file>